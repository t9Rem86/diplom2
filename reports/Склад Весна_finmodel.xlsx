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Денежные потоки" sheetId="2" state="visible" r:id="rId2"/>
    <sheet xmlns:r="http://schemas.openxmlformats.org/officeDocument/2006/relationships" name="ИТОГ" sheetId="3" state="visible" r:id="rId3"/>
    <sheet xmlns:r="http://schemas.openxmlformats.org/officeDocument/2006/relationships" name="Чувствительность" sheetId="4" state="visible" r:id="rId4"/>
    <sheet xmlns:r="http://schemas.openxmlformats.org/officeDocument/2006/relationships" name="Заключение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000FF"/>
      <sz val="11"/>
    </font>
    <font>
      <name val="Calibri"/>
      <color rgb="007F7F7F"/>
      <sz val="11"/>
    </font>
    <font>
      <name val="Calibri"/>
      <b val="1"/>
      <color rgb="00000000"/>
      <sz val="11"/>
    </font>
    <font>
      <name val="Calibri"/>
      <color rgb="00008000"/>
      <sz val="11"/>
    </font>
    <font>
      <name val="Calibri"/>
      <b val="1"/>
      <color rgb="00FFFFFF"/>
      <sz val="14"/>
    </font>
    <font>
      <name val="Calibri"/>
      <b val="1"/>
      <color rgb="00C00000"/>
      <sz val="11"/>
    </font>
    <font>
      <name val="Calibri"/>
      <b val="1"/>
      <color rgb="0000B05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3" borderId="2" pivotButton="0" quotePrefix="0" xfId="0"/>
    <xf numFmtId="0" fontId="3" fillId="3" borderId="2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10" fontId="3" fillId="3" borderId="2" applyAlignment="1" pivotButton="0" quotePrefix="0" xfId="0">
      <alignment horizontal="right" vertical="center"/>
    </xf>
    <xf numFmtId="1" fontId="3" fillId="3" borderId="2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3" fontId="2" fillId="4" borderId="2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3" fontId="2" fillId="5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left" vertical="center"/>
    </xf>
    <xf numFmtId="3" fontId="2" fillId="6" borderId="2" applyAlignment="1" pivotButton="0" quotePrefix="0" xfId="0">
      <alignment horizontal="right" vertical="center"/>
    </xf>
    <xf numFmtId="10" fontId="2" fillId="6" borderId="2" applyAlignment="1" pivotButton="0" quotePrefix="0" xfId="0">
      <alignment horizontal="right" vertical="center"/>
    </xf>
    <xf numFmtId="49" fontId="2" fillId="6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</cols>
  <sheetData>
    <row r="1" ht="24" customHeight="1">
      <c r="A1" s="1" t="inlineStr">
        <is>
          <t>ВХОДНЫЕ ПАРАМЕТРЫ ПРОЕКТА</t>
        </is>
      </c>
    </row>
    <row r="2">
      <c r="A2" s="2" t="inlineStr">
        <is>
          <t>Название проекта</t>
        </is>
      </c>
      <c r="B2" s="3" t="inlineStr"/>
      <c r="C2" s="4" t="inlineStr">
        <is>
          <t>Склад Весна</t>
        </is>
      </c>
    </row>
    <row r="3">
      <c r="A3" s="2" t="inlineStr">
        <is>
          <t>Дата начала строительства</t>
        </is>
      </c>
      <c r="B3" s="3" t="inlineStr">
        <is>
          <t>ДД.ММ.ГГГГ</t>
        </is>
      </c>
      <c r="C3" s="4" t="inlineStr">
        <is>
          <t>01.07.2026</t>
        </is>
      </c>
    </row>
    <row r="4">
      <c r="A4" s="5" t="inlineStr">
        <is>
          <t>Площадь объекта</t>
        </is>
      </c>
      <c r="B4" s="5" t="inlineStr">
        <is>
          <t>кв.м.</t>
        </is>
      </c>
      <c r="C4" s="6" t="n">
        <v>1000</v>
      </c>
    </row>
    <row r="5">
      <c r="A5" s="5" t="inlineStr">
        <is>
          <t>Себестоимость строительства (с НДС)</t>
        </is>
      </c>
      <c r="B5" s="5" t="inlineStr">
        <is>
          <t>руб.</t>
        </is>
      </c>
      <c r="C5" s="6" t="n">
        <v>48800000</v>
      </c>
    </row>
    <row r="6">
      <c r="A6" s="5" t="inlineStr">
        <is>
          <t>Доля кредита</t>
        </is>
      </c>
      <c r="B6" s="5" t="inlineStr"/>
      <c r="C6" s="7" t="n">
        <v>0.8</v>
      </c>
    </row>
    <row r="7">
      <c r="A7" s="5" t="inlineStr">
        <is>
          <t>Арендная ставка</t>
        </is>
      </c>
      <c r="B7" s="5" t="inlineStr">
        <is>
          <t>руб./кв.м./мес.</t>
        </is>
      </c>
      <c r="C7" s="6" t="n">
        <v>1190.72</v>
      </c>
    </row>
    <row r="8">
      <c r="A8" s="5" t="inlineStr">
        <is>
          <t>Годовая инфляция (индексация аренды)</t>
        </is>
      </c>
      <c r="B8" s="5" t="inlineStr"/>
      <c r="C8" s="7" t="n">
        <v>0.05</v>
      </c>
    </row>
    <row r="9">
      <c r="A9" s="5" t="inlineStr">
        <is>
          <t>Ставка ЦБ (ставка дисконтирования)</t>
        </is>
      </c>
      <c r="B9" s="5" t="inlineStr"/>
      <c r="C9" s="7" t="n">
        <v>0.145</v>
      </c>
    </row>
    <row r="10">
      <c r="A10" s="5" t="inlineStr">
        <is>
          <t>Кредитная ставка</t>
        </is>
      </c>
      <c r="B10" s="5" t="inlineStr"/>
      <c r="C10" s="7" t="n">
        <v>0.2</v>
      </c>
    </row>
    <row r="11">
      <c r="A11" s="5" t="inlineStr">
        <is>
          <t>Срок строительства</t>
        </is>
      </c>
      <c r="B11" s="5" t="inlineStr">
        <is>
          <t>мес.</t>
        </is>
      </c>
      <c r="C11" s="8" t="n">
        <v>6</v>
      </c>
    </row>
    <row r="12">
      <c r="A12" s="5" t="inlineStr">
        <is>
          <t>Горизонт планирования</t>
        </is>
      </c>
      <c r="B12" s="5" t="inlineStr">
        <is>
          <t>мес.</t>
        </is>
      </c>
      <c r="C12" s="8" t="n">
        <v>120</v>
      </c>
    </row>
    <row r="13">
      <c r="A13" s="5" t="inlineStr">
        <is>
          <t>Ставка НДС</t>
        </is>
      </c>
      <c r="B13" s="5" t="inlineStr"/>
      <c r="C13" s="7" t="n">
        <v>0.22</v>
      </c>
    </row>
    <row r="14">
      <c r="A14" s="5" t="inlineStr">
        <is>
          <t>Ставка налога на прибыль</t>
        </is>
      </c>
      <c r="B14" s="5" t="inlineStr"/>
      <c r="C14" s="7" t="n">
        <v>0.25</v>
      </c>
    </row>
    <row r="15">
      <c r="A15" s="5" t="inlineStr">
        <is>
          <t>Ставка налога на имущество</t>
        </is>
      </c>
      <c r="B15" s="5" t="inlineStr">
        <is>
          <t>в год</t>
        </is>
      </c>
      <c r="C15" s="7" t="n">
        <v>0.022</v>
      </c>
    </row>
    <row r="16">
      <c r="A16" s="5" t="inlineStr">
        <is>
          <t>Операционные расходы</t>
        </is>
      </c>
      <c r="B16" s="5" t="inlineStr">
        <is>
          <t>% от выручки б/НДС</t>
        </is>
      </c>
      <c r="C16" s="7" t="n">
        <v>0.1</v>
      </c>
    </row>
    <row r="17">
      <c r="A17" s="5" t="inlineStr">
        <is>
          <t>Срок полезного использования</t>
        </is>
      </c>
      <c r="B17" s="5" t="inlineStr">
        <is>
          <t>лет</t>
        </is>
      </c>
      <c r="C17" s="8" t="n">
        <v>20</v>
      </c>
    </row>
    <row r="18">
      <c r="A18" s="1" t="inlineStr">
        <is>
          <t>РАСЧЁТНЫЕ (ПРОИЗВОДНЫЕ) ПАРАМЕТРЫ</t>
        </is>
      </c>
    </row>
    <row r="19">
      <c r="A19" s="9" t="inlineStr">
        <is>
          <t>Изменяйте только синие ячейки выше — формулы ниже пересчитаются автоматически.</t>
        </is>
      </c>
    </row>
    <row r="20">
      <c r="A20" s="10" t="inlineStr">
        <is>
          <t>Себестоимость без НДС</t>
        </is>
      </c>
      <c r="B20" s="10" t="inlineStr">
        <is>
          <t>руб.</t>
        </is>
      </c>
      <c r="C20" s="11">
        <f>C5/(1+C13)</f>
        <v/>
      </c>
    </row>
    <row r="21">
      <c r="A21" s="10" t="inlineStr">
        <is>
          <t>НДС строительства</t>
        </is>
      </c>
      <c r="B21" s="10" t="inlineStr">
        <is>
          <t>руб.</t>
        </is>
      </c>
      <c r="C21" s="11">
        <f>C5-C20</f>
        <v/>
      </c>
    </row>
    <row r="22">
      <c r="A22" s="10" t="inlineStr">
        <is>
          <t>Сумма кредита</t>
        </is>
      </c>
      <c r="B22" s="10" t="inlineStr">
        <is>
          <t>руб.</t>
        </is>
      </c>
      <c r="C22" s="11">
        <f>C5*C6</f>
        <v/>
      </c>
    </row>
    <row r="23">
      <c r="A23" s="10" t="inlineStr">
        <is>
          <t>Собственные средства</t>
        </is>
      </c>
      <c r="B23" s="10" t="inlineStr">
        <is>
          <t>руб.</t>
        </is>
      </c>
      <c r="C23" s="11">
        <f>C5*(1-C6)</f>
        <v/>
      </c>
    </row>
    <row r="24">
      <c r="A24" s="10" t="inlineStr">
        <is>
          <t>Стоимость 1 кв.м.</t>
        </is>
      </c>
      <c r="B24" s="10" t="inlineStr">
        <is>
          <t>руб.</t>
        </is>
      </c>
      <c r="C24" s="11">
        <f>C5/C4</f>
        <v/>
      </c>
    </row>
    <row r="25">
      <c r="A25" s="10" t="inlineStr">
        <is>
          <t>Период эксплуатации</t>
        </is>
      </c>
      <c r="B25" s="10" t="inlineStr">
        <is>
          <t>мес.</t>
        </is>
      </c>
      <c r="C25" s="11">
        <f>C12-C11</f>
        <v/>
      </c>
    </row>
    <row r="26">
      <c r="A26" s="10" t="inlineStr">
        <is>
          <t>Аннуитетный платёж (в мес.)</t>
        </is>
      </c>
      <c r="B26" s="10" t="inlineStr">
        <is>
          <t>руб./мес.</t>
        </is>
      </c>
      <c r="C26" s="11">
        <f>-PMT(C10/12,C12-C11,C5*C6)</f>
        <v/>
      </c>
    </row>
    <row r="27">
      <c r="A27" s="10" t="inlineStr">
        <is>
          <t>Амортизация (в мес.)</t>
        </is>
      </c>
      <c r="B27" s="10" t="inlineStr">
        <is>
          <t>руб./мес.</t>
        </is>
      </c>
      <c r="C27" s="11">
        <f>C20/(C17*12)</f>
        <v/>
      </c>
    </row>
    <row r="28">
      <c r="A28" s="10" t="inlineStr">
        <is>
          <t>НДС к возмещению (1-3 мес. экспл.)</t>
        </is>
      </c>
      <c r="B28" s="10" t="inlineStr">
        <is>
          <t>руб./мес.</t>
        </is>
      </c>
      <c r="C28" s="11">
        <f>(C5-C5/(1+C13))/3</f>
        <v/>
      </c>
    </row>
  </sheetData>
  <mergeCells count="3">
    <mergeCell ref="A1:C1"/>
    <mergeCell ref="A18:C18"/>
    <mergeCell ref="A19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13" customWidth="1" min="17" max="17"/>
    <col width="13" customWidth="1" min="18" max="18"/>
    <col width="17" customWidth="1" min="19" max="19"/>
    <col width="16" customWidth="1" min="20" max="20"/>
    <col width="14" customWidth="1" min="21" max="21"/>
    <col width="14" customWidth="1" min="22" max="22"/>
  </cols>
  <sheetData>
    <row r="1" ht="30" customHeight="1">
      <c r="A1" s="12" t="inlineStr">
        <is>
          <t>Мес.</t>
        </is>
      </c>
      <c r="B1" s="12" t="inlineStr">
        <is>
          <t>Дата</t>
        </is>
      </c>
      <c r="C1" s="12" t="inlineStr">
        <is>
          <t>Фаза</t>
        </is>
      </c>
      <c r="D1" s="12" t="inlineStr">
        <is>
          <t>Выручка с НДС</t>
        </is>
      </c>
      <c r="E1" s="12" t="inlineStr">
        <is>
          <t>Выручка без НДС</t>
        </is>
      </c>
      <c r="F1" s="12" t="inlineStr">
        <is>
          <t>НДС выходной</t>
        </is>
      </c>
      <c r="G1" s="12" t="inlineStr">
        <is>
          <t>НДС входной</t>
        </is>
      </c>
      <c r="H1" s="12" t="inlineStr">
        <is>
          <t>НДС нетто</t>
        </is>
      </c>
      <c r="I1" s="12" t="inlineStr">
        <is>
          <t>Опер. расходы</t>
        </is>
      </c>
      <c r="J1" s="12" t="inlineStr">
        <is>
          <t>Амортизация</t>
        </is>
      </c>
      <c r="K1" s="12" t="inlineStr">
        <is>
          <t>Налог на имущ.</t>
        </is>
      </c>
      <c r="L1" s="12" t="inlineStr">
        <is>
          <t>EBIT</t>
        </is>
      </c>
      <c r="M1" s="12" t="inlineStr">
        <is>
          <t>Проценты</t>
        </is>
      </c>
      <c r="N1" s="12" t="inlineStr">
        <is>
          <t>EBT</t>
        </is>
      </c>
      <c r="O1" s="12" t="inlineStr">
        <is>
          <t>Налог на прибыль</t>
        </is>
      </c>
      <c r="P1" s="12" t="inlineStr">
        <is>
          <t>Чистая прибыль</t>
        </is>
      </c>
      <c r="Q1" s="12" t="inlineStr">
        <is>
          <t>Капвложения</t>
        </is>
      </c>
      <c r="R1" s="12" t="inlineStr">
        <is>
          <t>Транш кредита</t>
        </is>
      </c>
      <c r="S1" s="12" t="inlineStr">
        <is>
          <t>Погашение кредита</t>
        </is>
      </c>
      <c r="T1" s="12" t="inlineStr">
        <is>
          <t>Остаток кредита</t>
        </is>
      </c>
      <c r="U1" s="12" t="inlineStr">
        <is>
          <t>CF инвестора</t>
        </is>
      </c>
      <c r="V1" s="12" t="inlineStr">
        <is>
          <t>Накопл. CF</t>
        </is>
      </c>
    </row>
    <row r="2">
      <c r="A2" s="13" t="n">
        <v>1</v>
      </c>
      <c r="B2" s="13" t="inlineStr">
        <is>
          <t>01.08.2026</t>
        </is>
      </c>
      <c r="C2" s="14" t="inlineStr">
        <is>
          <t>Строительство</t>
        </is>
      </c>
      <c r="D2" s="15" t="n">
        <v>0</v>
      </c>
      <c r="E2" s="15" t="n">
        <v>0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5" t="n">
        <v>0</v>
      </c>
      <c r="L2" s="15" t="n">
        <v>0</v>
      </c>
      <c r="M2" s="15">
        <f>T2*'Параметры'!$C$10/12</f>
        <v/>
      </c>
      <c r="N2" s="15">
        <f>-M2</f>
        <v/>
      </c>
      <c r="O2" s="15" t="n">
        <v>0</v>
      </c>
      <c r="P2" s="15" t="n">
        <v>0</v>
      </c>
      <c r="Q2" s="15">
        <f>'Параметры'!$C$5/'Параметры'!$C$11</f>
        <v/>
      </c>
      <c r="R2" s="15">
        <f>'Параметры'!$C$22/'Параметры'!$C$11</f>
        <v/>
      </c>
      <c r="S2" s="15" t="n">
        <v>0</v>
      </c>
      <c r="T2" s="15">
        <f>'Параметры'!$C$22/'Параметры'!$C$11*A2</f>
        <v/>
      </c>
      <c r="U2" s="15">
        <f>-('Параметры'!$C$23/'Параметры'!$C$11+M2)</f>
        <v/>
      </c>
      <c r="V2" s="15">
        <f>U2</f>
        <v/>
      </c>
    </row>
    <row r="3">
      <c r="A3" s="16" t="n">
        <v>2</v>
      </c>
      <c r="B3" s="16" t="inlineStr">
        <is>
          <t>01.09.2026</t>
        </is>
      </c>
      <c r="C3" s="17" t="inlineStr">
        <is>
          <t>Строительство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>
        <f>T3*'Параметры'!$C$10/12</f>
        <v/>
      </c>
      <c r="N3" s="11">
        <f>-M3</f>
        <v/>
      </c>
      <c r="O3" s="11" t="n">
        <v>0</v>
      </c>
      <c r="P3" s="11" t="n">
        <v>0</v>
      </c>
      <c r="Q3" s="11">
        <f>'Параметры'!$C$5/'Параметры'!$C$11</f>
        <v/>
      </c>
      <c r="R3" s="11">
        <f>'Параметры'!$C$22/'Параметры'!$C$11</f>
        <v/>
      </c>
      <c r="S3" s="11" t="n">
        <v>0</v>
      </c>
      <c r="T3" s="11">
        <f>'Параметры'!$C$22/'Параметры'!$C$11*A3</f>
        <v/>
      </c>
      <c r="U3" s="11">
        <f>-('Параметры'!$C$23/'Параметры'!$C$11+M3)</f>
        <v/>
      </c>
      <c r="V3" s="11">
        <f>V2+U3</f>
        <v/>
      </c>
    </row>
    <row r="4">
      <c r="A4" s="13" t="n">
        <v>3</v>
      </c>
      <c r="B4" s="13" t="inlineStr">
        <is>
          <t>01.10.2026</t>
        </is>
      </c>
      <c r="C4" s="14" t="inlineStr">
        <is>
          <t>Строительство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>
        <f>T4*'Параметры'!$C$10/12</f>
        <v/>
      </c>
      <c r="N4" s="15">
        <f>-M4</f>
        <v/>
      </c>
      <c r="O4" s="15" t="n">
        <v>0</v>
      </c>
      <c r="P4" s="15" t="n">
        <v>0</v>
      </c>
      <c r="Q4" s="15">
        <f>'Параметры'!$C$5/'Параметры'!$C$11</f>
        <v/>
      </c>
      <c r="R4" s="15">
        <f>'Параметры'!$C$22/'Параметры'!$C$11</f>
        <v/>
      </c>
      <c r="S4" s="15" t="n">
        <v>0</v>
      </c>
      <c r="T4" s="15">
        <f>'Параметры'!$C$22/'Параметры'!$C$11*A4</f>
        <v/>
      </c>
      <c r="U4" s="15">
        <f>-('Параметры'!$C$23/'Параметры'!$C$11+M4)</f>
        <v/>
      </c>
      <c r="V4" s="15">
        <f>V3+U4</f>
        <v/>
      </c>
    </row>
    <row r="5">
      <c r="A5" s="16" t="n">
        <v>4</v>
      </c>
      <c r="B5" s="16" t="inlineStr">
        <is>
          <t>01.11.2026</t>
        </is>
      </c>
      <c r="C5" s="17" t="inlineStr">
        <is>
          <t>Строительство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>
        <f>T5*'Параметры'!$C$10/12</f>
        <v/>
      </c>
      <c r="N5" s="11">
        <f>-M5</f>
        <v/>
      </c>
      <c r="O5" s="11" t="n">
        <v>0</v>
      </c>
      <c r="P5" s="11" t="n">
        <v>0</v>
      </c>
      <c r="Q5" s="11">
        <f>'Параметры'!$C$5/'Параметры'!$C$11</f>
        <v/>
      </c>
      <c r="R5" s="11">
        <f>'Параметры'!$C$22/'Параметры'!$C$11</f>
        <v/>
      </c>
      <c r="S5" s="11" t="n">
        <v>0</v>
      </c>
      <c r="T5" s="11">
        <f>'Параметры'!$C$22/'Параметры'!$C$11*A5</f>
        <v/>
      </c>
      <c r="U5" s="11">
        <f>-('Параметры'!$C$23/'Параметры'!$C$11+M5)</f>
        <v/>
      </c>
      <c r="V5" s="11">
        <f>V4+U5</f>
        <v/>
      </c>
    </row>
    <row r="6">
      <c r="A6" s="13" t="n">
        <v>5</v>
      </c>
      <c r="B6" s="13" t="inlineStr">
        <is>
          <t>01.12.2026</t>
        </is>
      </c>
      <c r="C6" s="14" t="inlineStr">
        <is>
          <t>Строительство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>
        <f>T6*'Параметры'!$C$10/12</f>
        <v/>
      </c>
      <c r="N6" s="15">
        <f>-M6</f>
        <v/>
      </c>
      <c r="O6" s="15" t="n">
        <v>0</v>
      </c>
      <c r="P6" s="15" t="n">
        <v>0</v>
      </c>
      <c r="Q6" s="15">
        <f>'Параметры'!$C$5/'Параметры'!$C$11</f>
        <v/>
      </c>
      <c r="R6" s="15">
        <f>'Параметры'!$C$22/'Параметры'!$C$11</f>
        <v/>
      </c>
      <c r="S6" s="15" t="n">
        <v>0</v>
      </c>
      <c r="T6" s="15">
        <f>'Параметры'!$C$22/'Параметры'!$C$11*A6</f>
        <v/>
      </c>
      <c r="U6" s="15">
        <f>-('Параметры'!$C$23/'Параметры'!$C$11+M6)</f>
        <v/>
      </c>
      <c r="V6" s="15">
        <f>V5+U6</f>
        <v/>
      </c>
    </row>
    <row r="7">
      <c r="A7" s="16" t="n">
        <v>6</v>
      </c>
      <c r="B7" s="16" t="inlineStr">
        <is>
          <t>01.01.2027</t>
        </is>
      </c>
      <c r="C7" s="17" t="inlineStr">
        <is>
          <t>Строительство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>
        <f>T7*'Параметры'!$C$10/12</f>
        <v/>
      </c>
      <c r="N7" s="11">
        <f>-M7</f>
        <v/>
      </c>
      <c r="O7" s="11" t="n">
        <v>0</v>
      </c>
      <c r="P7" s="11" t="n">
        <v>0</v>
      </c>
      <c r="Q7" s="11">
        <f>'Параметры'!$C$5/'Параметры'!$C$11</f>
        <v/>
      </c>
      <c r="R7" s="11">
        <f>'Параметры'!$C$22/'Параметры'!$C$11</f>
        <v/>
      </c>
      <c r="S7" s="11" t="n">
        <v>0</v>
      </c>
      <c r="T7" s="11">
        <f>'Параметры'!$C$22/'Параметры'!$C$11*A7</f>
        <v/>
      </c>
      <c r="U7" s="11">
        <f>-('Параметры'!$C$23/'Параметры'!$C$11+M7)</f>
        <v/>
      </c>
      <c r="V7" s="11">
        <f>V6+U7</f>
        <v/>
      </c>
    </row>
    <row r="8">
      <c r="A8" s="13" t="n">
        <v>7</v>
      </c>
      <c r="B8" s="13" t="inlineStr">
        <is>
          <t>01.02.2027</t>
        </is>
      </c>
      <c r="C8" s="14" t="inlineStr">
        <is>
          <t>Эксплуатация</t>
        </is>
      </c>
      <c r="D8" s="15">
        <f>'Параметры'!$C$4*'Параметры'!$C$7*(1+'Параметры'!$C$8)^INT((A8-'Параметры'!$C$11-1)/12)</f>
        <v/>
      </c>
      <c r="E8" s="15">
        <f>D8/(1+'Параметры'!$C$13)</f>
        <v/>
      </c>
      <c r="F8" s="15">
        <f>D8-E8</f>
        <v/>
      </c>
      <c r="G8" s="15">
        <f>IF(AND(A8&gt;'Параметры'!$C$11,A8&lt;='Параметры'!$C$11+3),'Параметры'!$C$28,0)</f>
        <v/>
      </c>
      <c r="H8" s="15">
        <f>F8-G8</f>
        <v/>
      </c>
      <c r="I8" s="15">
        <f>E8*'Параметры'!$C$16</f>
        <v/>
      </c>
      <c r="J8" s="15">
        <f>'Параметры'!$C$27</f>
        <v/>
      </c>
      <c r="K8" s="15">
        <f>MAX(0,'Параметры'!$C$20-'Параметры'!$C$27*MAX(0,A8-'Параметры'!$C$11-1))*'Параметры'!$C$15/12</f>
        <v/>
      </c>
      <c r="L8" s="15">
        <f>E8-I8-J8-K8</f>
        <v/>
      </c>
      <c r="M8" s="15">
        <f>T7*'Параметры'!$C$10/12</f>
        <v/>
      </c>
      <c r="N8" s="15">
        <f>L8-M8</f>
        <v/>
      </c>
      <c r="O8" s="15">
        <f>MAX(0,N8*'Параметры'!$C$14)</f>
        <v/>
      </c>
      <c r="P8" s="15">
        <f>N8-O8</f>
        <v/>
      </c>
      <c r="Q8" s="15" t="n">
        <v>0</v>
      </c>
      <c r="R8" s="15" t="n">
        <v>0</v>
      </c>
      <c r="S8" s="15">
        <f>MAX(0,MIN('Параметры'!$C$26-M8,T7))</f>
        <v/>
      </c>
      <c r="T8" s="15">
        <f>MAX(0,T7-S8)</f>
        <v/>
      </c>
      <c r="U8" s="15">
        <f>P8+J8-S8-H8</f>
        <v/>
      </c>
      <c r="V8" s="15">
        <f>V7+U8</f>
        <v/>
      </c>
    </row>
    <row r="9">
      <c r="A9" s="16" t="n">
        <v>8</v>
      </c>
      <c r="B9" s="16" t="inlineStr">
        <is>
          <t>01.03.2027</t>
        </is>
      </c>
      <c r="C9" s="17" t="inlineStr">
        <is>
          <t>Эксплуатация</t>
        </is>
      </c>
      <c r="D9" s="11">
        <f>'Параметры'!$C$4*'Параметры'!$C$7*(1+'Параметры'!$C$8)^INT((A9-'Параметры'!$C$11-1)/12)</f>
        <v/>
      </c>
      <c r="E9" s="11">
        <f>D9/(1+'Параметры'!$C$13)</f>
        <v/>
      </c>
      <c r="F9" s="11">
        <f>D9-E9</f>
        <v/>
      </c>
      <c r="G9" s="11">
        <f>IF(AND(A9&gt;'Параметры'!$C$11,A9&lt;='Параметры'!$C$11+3),'Параметры'!$C$28,0)</f>
        <v/>
      </c>
      <c r="H9" s="11">
        <f>F9-G9</f>
        <v/>
      </c>
      <c r="I9" s="11">
        <f>E9*'Параметры'!$C$16</f>
        <v/>
      </c>
      <c r="J9" s="11">
        <f>'Параметры'!$C$27</f>
        <v/>
      </c>
      <c r="K9" s="11">
        <f>MAX(0,'Параметры'!$C$20-'Параметры'!$C$27*MAX(0,A9-'Параметры'!$C$11-1))*'Параметры'!$C$15/12</f>
        <v/>
      </c>
      <c r="L9" s="11">
        <f>E9-I9-J9-K9</f>
        <v/>
      </c>
      <c r="M9" s="11">
        <f>T8*'Параметры'!$C$10/12</f>
        <v/>
      </c>
      <c r="N9" s="11">
        <f>L9-M9</f>
        <v/>
      </c>
      <c r="O9" s="11">
        <f>MAX(0,N9*'Параметры'!$C$14)</f>
        <v/>
      </c>
      <c r="P9" s="11">
        <f>N9-O9</f>
        <v/>
      </c>
      <c r="Q9" s="11" t="n">
        <v>0</v>
      </c>
      <c r="R9" s="11" t="n">
        <v>0</v>
      </c>
      <c r="S9" s="11">
        <f>MAX(0,MIN('Параметры'!$C$26-M9,T8))</f>
        <v/>
      </c>
      <c r="T9" s="11">
        <f>MAX(0,T8-S9)</f>
        <v/>
      </c>
      <c r="U9" s="11">
        <f>P9+J9-S9-H9</f>
        <v/>
      </c>
      <c r="V9" s="11">
        <f>V8+U9</f>
        <v/>
      </c>
    </row>
    <row r="10">
      <c r="A10" s="13" t="n">
        <v>9</v>
      </c>
      <c r="B10" s="13" t="inlineStr">
        <is>
          <t>01.04.2027</t>
        </is>
      </c>
      <c r="C10" s="14" t="inlineStr">
        <is>
          <t>Эксплуатация</t>
        </is>
      </c>
      <c r="D10" s="15">
        <f>'Параметры'!$C$4*'Параметры'!$C$7*(1+'Параметры'!$C$8)^INT((A10-'Параметры'!$C$11-1)/12)</f>
        <v/>
      </c>
      <c r="E10" s="15">
        <f>D10/(1+'Параметры'!$C$13)</f>
        <v/>
      </c>
      <c r="F10" s="15">
        <f>D10-E10</f>
        <v/>
      </c>
      <c r="G10" s="15">
        <f>IF(AND(A10&gt;'Параметры'!$C$11,A10&lt;='Параметры'!$C$11+3),'Параметры'!$C$28,0)</f>
        <v/>
      </c>
      <c r="H10" s="15">
        <f>F10-G10</f>
        <v/>
      </c>
      <c r="I10" s="15">
        <f>E10*'Параметры'!$C$16</f>
        <v/>
      </c>
      <c r="J10" s="15">
        <f>'Параметры'!$C$27</f>
        <v/>
      </c>
      <c r="K10" s="15">
        <f>MAX(0,'Параметры'!$C$20-'Параметры'!$C$27*MAX(0,A10-'Параметры'!$C$11-1))*'Параметры'!$C$15/12</f>
        <v/>
      </c>
      <c r="L10" s="15">
        <f>E10-I10-J10-K10</f>
        <v/>
      </c>
      <c r="M10" s="15">
        <f>T9*'Параметры'!$C$10/12</f>
        <v/>
      </c>
      <c r="N10" s="15">
        <f>L10-M10</f>
        <v/>
      </c>
      <c r="O10" s="15">
        <f>MAX(0,N10*'Параметры'!$C$14)</f>
        <v/>
      </c>
      <c r="P10" s="15">
        <f>N10-O10</f>
        <v/>
      </c>
      <c r="Q10" s="15" t="n">
        <v>0</v>
      </c>
      <c r="R10" s="15" t="n">
        <v>0</v>
      </c>
      <c r="S10" s="15">
        <f>MAX(0,MIN('Параметры'!$C$26-M10,T9))</f>
        <v/>
      </c>
      <c r="T10" s="15">
        <f>MAX(0,T9-S10)</f>
        <v/>
      </c>
      <c r="U10" s="15">
        <f>P10+J10-S10-H10</f>
        <v/>
      </c>
      <c r="V10" s="15">
        <f>V9+U10</f>
        <v/>
      </c>
    </row>
    <row r="11">
      <c r="A11" s="16" t="n">
        <v>10</v>
      </c>
      <c r="B11" s="16" t="inlineStr">
        <is>
          <t>01.05.2027</t>
        </is>
      </c>
      <c r="C11" s="17" t="inlineStr">
        <is>
          <t>Эксплуатация</t>
        </is>
      </c>
      <c r="D11" s="11">
        <f>'Параметры'!$C$4*'Параметры'!$C$7*(1+'Параметры'!$C$8)^INT((A11-'Параметры'!$C$11-1)/12)</f>
        <v/>
      </c>
      <c r="E11" s="11">
        <f>D11/(1+'Параметры'!$C$13)</f>
        <v/>
      </c>
      <c r="F11" s="11">
        <f>D11-E11</f>
        <v/>
      </c>
      <c r="G11" s="11">
        <f>IF(AND(A11&gt;'Параметры'!$C$11,A11&lt;='Параметры'!$C$11+3),'Параметры'!$C$28,0)</f>
        <v/>
      </c>
      <c r="H11" s="11">
        <f>F11-G11</f>
        <v/>
      </c>
      <c r="I11" s="11">
        <f>E11*'Параметры'!$C$16</f>
        <v/>
      </c>
      <c r="J11" s="11">
        <f>'Параметры'!$C$27</f>
        <v/>
      </c>
      <c r="K11" s="11">
        <f>MAX(0,'Параметры'!$C$20-'Параметры'!$C$27*MAX(0,A11-'Параметры'!$C$11-1))*'Параметры'!$C$15/12</f>
        <v/>
      </c>
      <c r="L11" s="11">
        <f>E11-I11-J11-K11</f>
        <v/>
      </c>
      <c r="M11" s="11">
        <f>T10*'Параметры'!$C$10/12</f>
        <v/>
      </c>
      <c r="N11" s="11">
        <f>L11-M11</f>
        <v/>
      </c>
      <c r="O11" s="11">
        <f>MAX(0,N11*'Параметры'!$C$14)</f>
        <v/>
      </c>
      <c r="P11" s="11">
        <f>N11-O11</f>
        <v/>
      </c>
      <c r="Q11" s="11" t="n">
        <v>0</v>
      </c>
      <c r="R11" s="11" t="n">
        <v>0</v>
      </c>
      <c r="S11" s="11">
        <f>MAX(0,MIN('Параметры'!$C$26-M11,T10))</f>
        <v/>
      </c>
      <c r="T11" s="11">
        <f>MAX(0,T10-S11)</f>
        <v/>
      </c>
      <c r="U11" s="11">
        <f>P11+J11-S11-H11</f>
        <v/>
      </c>
      <c r="V11" s="11">
        <f>V10+U11</f>
        <v/>
      </c>
    </row>
    <row r="12">
      <c r="A12" s="13" t="n">
        <v>11</v>
      </c>
      <c r="B12" s="13" t="inlineStr">
        <is>
          <t>01.06.2027</t>
        </is>
      </c>
      <c r="C12" s="14" t="inlineStr">
        <is>
          <t>Эксплуатация</t>
        </is>
      </c>
      <c r="D12" s="15">
        <f>'Параметры'!$C$4*'Параметры'!$C$7*(1+'Параметры'!$C$8)^INT((A12-'Параметры'!$C$11-1)/12)</f>
        <v/>
      </c>
      <c r="E12" s="15">
        <f>D12/(1+'Параметры'!$C$13)</f>
        <v/>
      </c>
      <c r="F12" s="15">
        <f>D12-E12</f>
        <v/>
      </c>
      <c r="G12" s="15">
        <f>IF(AND(A12&gt;'Параметры'!$C$11,A12&lt;='Параметры'!$C$11+3),'Параметры'!$C$28,0)</f>
        <v/>
      </c>
      <c r="H12" s="15">
        <f>F12-G12</f>
        <v/>
      </c>
      <c r="I12" s="15">
        <f>E12*'Параметры'!$C$16</f>
        <v/>
      </c>
      <c r="J12" s="15">
        <f>'Параметры'!$C$27</f>
        <v/>
      </c>
      <c r="K12" s="15">
        <f>MAX(0,'Параметры'!$C$20-'Параметры'!$C$27*MAX(0,A12-'Параметры'!$C$11-1))*'Параметры'!$C$15/12</f>
        <v/>
      </c>
      <c r="L12" s="15">
        <f>E12-I12-J12-K12</f>
        <v/>
      </c>
      <c r="M12" s="15">
        <f>T11*'Параметры'!$C$10/12</f>
        <v/>
      </c>
      <c r="N12" s="15">
        <f>L12-M12</f>
        <v/>
      </c>
      <c r="O12" s="15">
        <f>MAX(0,N12*'Параметры'!$C$14)</f>
        <v/>
      </c>
      <c r="P12" s="15">
        <f>N12-O12</f>
        <v/>
      </c>
      <c r="Q12" s="15" t="n">
        <v>0</v>
      </c>
      <c r="R12" s="15" t="n">
        <v>0</v>
      </c>
      <c r="S12" s="15">
        <f>MAX(0,MIN('Параметры'!$C$26-M12,T11))</f>
        <v/>
      </c>
      <c r="T12" s="15">
        <f>MAX(0,T11-S12)</f>
        <v/>
      </c>
      <c r="U12" s="15">
        <f>P12+J12-S12-H12</f>
        <v/>
      </c>
      <c r="V12" s="15">
        <f>V11+U12</f>
        <v/>
      </c>
    </row>
    <row r="13">
      <c r="A13" s="16" t="n">
        <v>12</v>
      </c>
      <c r="B13" s="16" t="inlineStr">
        <is>
          <t>01.07.2027</t>
        </is>
      </c>
      <c r="C13" s="17" t="inlineStr">
        <is>
          <t>Эксплуатация</t>
        </is>
      </c>
      <c r="D13" s="11">
        <f>'Параметры'!$C$4*'Параметры'!$C$7*(1+'Параметры'!$C$8)^INT((A13-'Параметры'!$C$11-1)/12)</f>
        <v/>
      </c>
      <c r="E13" s="11">
        <f>D13/(1+'Параметры'!$C$13)</f>
        <v/>
      </c>
      <c r="F13" s="11">
        <f>D13-E13</f>
        <v/>
      </c>
      <c r="G13" s="11">
        <f>IF(AND(A13&gt;'Параметры'!$C$11,A13&lt;='Параметры'!$C$11+3),'Параметры'!$C$28,0)</f>
        <v/>
      </c>
      <c r="H13" s="11">
        <f>F13-G13</f>
        <v/>
      </c>
      <c r="I13" s="11">
        <f>E13*'Параметры'!$C$16</f>
        <v/>
      </c>
      <c r="J13" s="11">
        <f>'Параметры'!$C$27</f>
        <v/>
      </c>
      <c r="K13" s="11">
        <f>MAX(0,'Параметры'!$C$20-'Параметры'!$C$27*MAX(0,A13-'Параметры'!$C$11-1))*'Параметры'!$C$15/12</f>
        <v/>
      </c>
      <c r="L13" s="11">
        <f>E13-I13-J13-K13</f>
        <v/>
      </c>
      <c r="M13" s="11">
        <f>T12*'Параметры'!$C$10/12</f>
        <v/>
      </c>
      <c r="N13" s="11">
        <f>L13-M13</f>
        <v/>
      </c>
      <c r="O13" s="11">
        <f>MAX(0,N13*'Параметры'!$C$14)</f>
        <v/>
      </c>
      <c r="P13" s="11">
        <f>N13-O13</f>
        <v/>
      </c>
      <c r="Q13" s="11" t="n">
        <v>0</v>
      </c>
      <c r="R13" s="11" t="n">
        <v>0</v>
      </c>
      <c r="S13" s="11">
        <f>MAX(0,MIN('Параметры'!$C$26-M13,T12))</f>
        <v/>
      </c>
      <c r="T13" s="11">
        <f>MAX(0,T12-S13)</f>
        <v/>
      </c>
      <c r="U13" s="11">
        <f>P13+J13-S13-H13</f>
        <v/>
      </c>
      <c r="V13" s="11">
        <f>V12+U13</f>
        <v/>
      </c>
    </row>
    <row r="14">
      <c r="A14" s="13" t="n">
        <v>13</v>
      </c>
      <c r="B14" s="13" t="inlineStr">
        <is>
          <t>01.08.2027</t>
        </is>
      </c>
      <c r="C14" s="14" t="inlineStr">
        <is>
          <t>Эксплуатация</t>
        </is>
      </c>
      <c r="D14" s="15">
        <f>'Параметры'!$C$4*'Параметры'!$C$7*(1+'Параметры'!$C$8)^INT((A14-'Параметры'!$C$11-1)/12)</f>
        <v/>
      </c>
      <c r="E14" s="15">
        <f>D14/(1+'Параметры'!$C$13)</f>
        <v/>
      </c>
      <c r="F14" s="15">
        <f>D14-E14</f>
        <v/>
      </c>
      <c r="G14" s="15">
        <f>IF(AND(A14&gt;'Параметры'!$C$11,A14&lt;='Параметры'!$C$11+3),'Параметры'!$C$28,0)</f>
        <v/>
      </c>
      <c r="H14" s="15">
        <f>F14-G14</f>
        <v/>
      </c>
      <c r="I14" s="15">
        <f>E14*'Параметры'!$C$16</f>
        <v/>
      </c>
      <c r="J14" s="15">
        <f>'Параметры'!$C$27</f>
        <v/>
      </c>
      <c r="K14" s="15">
        <f>MAX(0,'Параметры'!$C$20-'Параметры'!$C$27*MAX(0,A14-'Параметры'!$C$11-1))*'Параметры'!$C$15/12</f>
        <v/>
      </c>
      <c r="L14" s="15">
        <f>E14-I14-J14-K14</f>
        <v/>
      </c>
      <c r="M14" s="15">
        <f>T13*'Параметры'!$C$10/12</f>
        <v/>
      </c>
      <c r="N14" s="15">
        <f>L14-M14</f>
        <v/>
      </c>
      <c r="O14" s="15">
        <f>MAX(0,N14*'Параметры'!$C$14)</f>
        <v/>
      </c>
      <c r="P14" s="15">
        <f>N14-O14</f>
        <v/>
      </c>
      <c r="Q14" s="15" t="n">
        <v>0</v>
      </c>
      <c r="R14" s="15" t="n">
        <v>0</v>
      </c>
      <c r="S14" s="15">
        <f>MAX(0,MIN('Параметры'!$C$26-M14,T13))</f>
        <v/>
      </c>
      <c r="T14" s="15">
        <f>MAX(0,T13-S14)</f>
        <v/>
      </c>
      <c r="U14" s="15">
        <f>P14+J14-S14-H14</f>
        <v/>
      </c>
      <c r="V14" s="15">
        <f>V13+U14</f>
        <v/>
      </c>
    </row>
    <row r="15">
      <c r="A15" s="16" t="n">
        <v>14</v>
      </c>
      <c r="B15" s="16" t="inlineStr">
        <is>
          <t>01.09.2027</t>
        </is>
      </c>
      <c r="C15" s="17" t="inlineStr">
        <is>
          <t>Эксплуатация</t>
        </is>
      </c>
      <c r="D15" s="11">
        <f>'Параметры'!$C$4*'Параметры'!$C$7*(1+'Параметры'!$C$8)^INT((A15-'Параметры'!$C$11-1)/12)</f>
        <v/>
      </c>
      <c r="E15" s="11">
        <f>D15/(1+'Параметры'!$C$13)</f>
        <v/>
      </c>
      <c r="F15" s="11">
        <f>D15-E15</f>
        <v/>
      </c>
      <c r="G15" s="11">
        <f>IF(AND(A15&gt;'Параметры'!$C$11,A15&lt;='Параметры'!$C$11+3),'Параметры'!$C$28,0)</f>
        <v/>
      </c>
      <c r="H15" s="11">
        <f>F15-G15</f>
        <v/>
      </c>
      <c r="I15" s="11">
        <f>E15*'Параметры'!$C$16</f>
        <v/>
      </c>
      <c r="J15" s="11">
        <f>'Параметры'!$C$27</f>
        <v/>
      </c>
      <c r="K15" s="11">
        <f>MAX(0,'Параметры'!$C$20-'Параметры'!$C$27*MAX(0,A15-'Параметры'!$C$11-1))*'Параметры'!$C$15/12</f>
        <v/>
      </c>
      <c r="L15" s="11">
        <f>E15-I15-J15-K15</f>
        <v/>
      </c>
      <c r="M15" s="11">
        <f>T14*'Параметры'!$C$10/12</f>
        <v/>
      </c>
      <c r="N15" s="11">
        <f>L15-M15</f>
        <v/>
      </c>
      <c r="O15" s="11">
        <f>MAX(0,N15*'Параметры'!$C$14)</f>
        <v/>
      </c>
      <c r="P15" s="11">
        <f>N15-O15</f>
        <v/>
      </c>
      <c r="Q15" s="11" t="n">
        <v>0</v>
      </c>
      <c r="R15" s="11" t="n">
        <v>0</v>
      </c>
      <c r="S15" s="11">
        <f>MAX(0,MIN('Параметры'!$C$26-M15,T14))</f>
        <v/>
      </c>
      <c r="T15" s="11">
        <f>MAX(0,T14-S15)</f>
        <v/>
      </c>
      <c r="U15" s="11">
        <f>P15+J15-S15-H15</f>
        <v/>
      </c>
      <c r="V15" s="11">
        <f>V14+U15</f>
        <v/>
      </c>
    </row>
    <row r="16">
      <c r="A16" s="13" t="n">
        <v>15</v>
      </c>
      <c r="B16" s="13" t="inlineStr">
        <is>
          <t>01.10.2027</t>
        </is>
      </c>
      <c r="C16" s="14" t="inlineStr">
        <is>
          <t>Эксплуатация</t>
        </is>
      </c>
      <c r="D16" s="15">
        <f>'Параметры'!$C$4*'Параметры'!$C$7*(1+'Параметры'!$C$8)^INT((A16-'Параметры'!$C$11-1)/12)</f>
        <v/>
      </c>
      <c r="E16" s="15">
        <f>D16/(1+'Параметры'!$C$13)</f>
        <v/>
      </c>
      <c r="F16" s="15">
        <f>D16-E16</f>
        <v/>
      </c>
      <c r="G16" s="15">
        <f>IF(AND(A16&gt;'Параметры'!$C$11,A16&lt;='Параметры'!$C$11+3),'Параметры'!$C$28,0)</f>
        <v/>
      </c>
      <c r="H16" s="15">
        <f>F16-G16</f>
        <v/>
      </c>
      <c r="I16" s="15">
        <f>E16*'Параметры'!$C$16</f>
        <v/>
      </c>
      <c r="J16" s="15">
        <f>'Параметры'!$C$27</f>
        <v/>
      </c>
      <c r="K16" s="15">
        <f>MAX(0,'Параметры'!$C$20-'Параметры'!$C$27*MAX(0,A16-'Параметры'!$C$11-1))*'Параметры'!$C$15/12</f>
        <v/>
      </c>
      <c r="L16" s="15">
        <f>E16-I16-J16-K16</f>
        <v/>
      </c>
      <c r="M16" s="15">
        <f>T15*'Параметры'!$C$10/12</f>
        <v/>
      </c>
      <c r="N16" s="15">
        <f>L16-M16</f>
        <v/>
      </c>
      <c r="O16" s="15">
        <f>MAX(0,N16*'Параметры'!$C$14)</f>
        <v/>
      </c>
      <c r="P16" s="15">
        <f>N16-O16</f>
        <v/>
      </c>
      <c r="Q16" s="15" t="n">
        <v>0</v>
      </c>
      <c r="R16" s="15" t="n">
        <v>0</v>
      </c>
      <c r="S16" s="15">
        <f>MAX(0,MIN('Параметры'!$C$26-M16,T15))</f>
        <v/>
      </c>
      <c r="T16" s="15">
        <f>MAX(0,T15-S16)</f>
        <v/>
      </c>
      <c r="U16" s="15">
        <f>P16+J16-S16-H16</f>
        <v/>
      </c>
      <c r="V16" s="15">
        <f>V15+U16</f>
        <v/>
      </c>
    </row>
    <row r="17">
      <c r="A17" s="16" t="n">
        <v>16</v>
      </c>
      <c r="B17" s="16" t="inlineStr">
        <is>
          <t>01.11.2027</t>
        </is>
      </c>
      <c r="C17" s="17" t="inlineStr">
        <is>
          <t>Эксплуатация</t>
        </is>
      </c>
      <c r="D17" s="11">
        <f>'Параметры'!$C$4*'Параметры'!$C$7*(1+'Параметры'!$C$8)^INT((A17-'Параметры'!$C$11-1)/12)</f>
        <v/>
      </c>
      <c r="E17" s="11">
        <f>D17/(1+'Параметры'!$C$13)</f>
        <v/>
      </c>
      <c r="F17" s="11">
        <f>D17-E17</f>
        <v/>
      </c>
      <c r="G17" s="11">
        <f>IF(AND(A17&gt;'Параметры'!$C$11,A17&lt;='Параметры'!$C$11+3),'Параметры'!$C$28,0)</f>
        <v/>
      </c>
      <c r="H17" s="11">
        <f>F17-G17</f>
        <v/>
      </c>
      <c r="I17" s="11">
        <f>E17*'Параметры'!$C$16</f>
        <v/>
      </c>
      <c r="J17" s="11">
        <f>'Параметры'!$C$27</f>
        <v/>
      </c>
      <c r="K17" s="11">
        <f>MAX(0,'Параметры'!$C$20-'Параметры'!$C$27*MAX(0,A17-'Параметры'!$C$11-1))*'Параметры'!$C$15/12</f>
        <v/>
      </c>
      <c r="L17" s="11">
        <f>E17-I17-J17-K17</f>
        <v/>
      </c>
      <c r="M17" s="11">
        <f>T16*'Параметры'!$C$10/12</f>
        <v/>
      </c>
      <c r="N17" s="11">
        <f>L17-M17</f>
        <v/>
      </c>
      <c r="O17" s="11">
        <f>MAX(0,N17*'Параметры'!$C$14)</f>
        <v/>
      </c>
      <c r="P17" s="11">
        <f>N17-O17</f>
        <v/>
      </c>
      <c r="Q17" s="11" t="n">
        <v>0</v>
      </c>
      <c r="R17" s="11" t="n">
        <v>0</v>
      </c>
      <c r="S17" s="11">
        <f>MAX(0,MIN('Параметры'!$C$26-M17,T16))</f>
        <v/>
      </c>
      <c r="T17" s="11">
        <f>MAX(0,T16-S17)</f>
        <v/>
      </c>
      <c r="U17" s="11">
        <f>P17+J17-S17-H17</f>
        <v/>
      </c>
      <c r="V17" s="11">
        <f>V16+U17</f>
        <v/>
      </c>
    </row>
    <row r="18">
      <c r="A18" s="13" t="n">
        <v>17</v>
      </c>
      <c r="B18" s="13" t="inlineStr">
        <is>
          <t>01.12.2027</t>
        </is>
      </c>
      <c r="C18" s="14" t="inlineStr">
        <is>
          <t>Эксплуатация</t>
        </is>
      </c>
      <c r="D18" s="15">
        <f>'Параметры'!$C$4*'Параметры'!$C$7*(1+'Параметры'!$C$8)^INT((A18-'Параметры'!$C$11-1)/12)</f>
        <v/>
      </c>
      <c r="E18" s="15">
        <f>D18/(1+'Параметры'!$C$13)</f>
        <v/>
      </c>
      <c r="F18" s="15">
        <f>D18-E18</f>
        <v/>
      </c>
      <c r="G18" s="15">
        <f>IF(AND(A18&gt;'Параметры'!$C$11,A18&lt;='Параметры'!$C$11+3),'Параметры'!$C$28,0)</f>
        <v/>
      </c>
      <c r="H18" s="15">
        <f>F18-G18</f>
        <v/>
      </c>
      <c r="I18" s="15">
        <f>E18*'Параметры'!$C$16</f>
        <v/>
      </c>
      <c r="J18" s="15">
        <f>'Параметры'!$C$27</f>
        <v/>
      </c>
      <c r="K18" s="15">
        <f>MAX(0,'Параметры'!$C$20-'Параметры'!$C$27*MAX(0,A18-'Параметры'!$C$11-1))*'Параметры'!$C$15/12</f>
        <v/>
      </c>
      <c r="L18" s="15">
        <f>E18-I18-J18-K18</f>
        <v/>
      </c>
      <c r="M18" s="15">
        <f>T17*'Параметры'!$C$10/12</f>
        <v/>
      </c>
      <c r="N18" s="15">
        <f>L18-M18</f>
        <v/>
      </c>
      <c r="O18" s="15">
        <f>MAX(0,N18*'Параметры'!$C$14)</f>
        <v/>
      </c>
      <c r="P18" s="15">
        <f>N18-O18</f>
        <v/>
      </c>
      <c r="Q18" s="15" t="n">
        <v>0</v>
      </c>
      <c r="R18" s="15" t="n">
        <v>0</v>
      </c>
      <c r="S18" s="15">
        <f>MAX(0,MIN('Параметры'!$C$26-M18,T17))</f>
        <v/>
      </c>
      <c r="T18" s="15">
        <f>MAX(0,T17-S18)</f>
        <v/>
      </c>
      <c r="U18" s="15">
        <f>P18+J18-S18-H18</f>
        <v/>
      </c>
      <c r="V18" s="15">
        <f>V17+U18</f>
        <v/>
      </c>
    </row>
    <row r="19">
      <c r="A19" s="16" t="n">
        <v>18</v>
      </c>
      <c r="B19" s="16" t="inlineStr">
        <is>
          <t>01.01.2028</t>
        </is>
      </c>
      <c r="C19" s="17" t="inlineStr">
        <is>
          <t>Эксплуатация</t>
        </is>
      </c>
      <c r="D19" s="11">
        <f>'Параметры'!$C$4*'Параметры'!$C$7*(1+'Параметры'!$C$8)^INT((A19-'Параметры'!$C$11-1)/12)</f>
        <v/>
      </c>
      <c r="E19" s="11">
        <f>D19/(1+'Параметры'!$C$13)</f>
        <v/>
      </c>
      <c r="F19" s="11">
        <f>D19-E19</f>
        <v/>
      </c>
      <c r="G19" s="11">
        <f>IF(AND(A19&gt;'Параметры'!$C$11,A19&lt;='Параметры'!$C$11+3),'Параметры'!$C$28,0)</f>
        <v/>
      </c>
      <c r="H19" s="11">
        <f>F19-G19</f>
        <v/>
      </c>
      <c r="I19" s="11">
        <f>E19*'Параметры'!$C$16</f>
        <v/>
      </c>
      <c r="J19" s="11">
        <f>'Параметры'!$C$27</f>
        <v/>
      </c>
      <c r="K19" s="11">
        <f>MAX(0,'Параметры'!$C$20-'Параметры'!$C$27*MAX(0,A19-'Параметры'!$C$11-1))*'Параметры'!$C$15/12</f>
        <v/>
      </c>
      <c r="L19" s="11">
        <f>E19-I19-J19-K19</f>
        <v/>
      </c>
      <c r="M19" s="11">
        <f>T18*'Параметры'!$C$10/12</f>
        <v/>
      </c>
      <c r="N19" s="11">
        <f>L19-M19</f>
        <v/>
      </c>
      <c r="O19" s="11">
        <f>MAX(0,N19*'Параметры'!$C$14)</f>
        <v/>
      </c>
      <c r="P19" s="11">
        <f>N19-O19</f>
        <v/>
      </c>
      <c r="Q19" s="11" t="n">
        <v>0</v>
      </c>
      <c r="R19" s="11" t="n">
        <v>0</v>
      </c>
      <c r="S19" s="11">
        <f>MAX(0,MIN('Параметры'!$C$26-M19,T18))</f>
        <v/>
      </c>
      <c r="T19" s="11">
        <f>MAX(0,T18-S19)</f>
        <v/>
      </c>
      <c r="U19" s="11">
        <f>P19+J19-S19-H19</f>
        <v/>
      </c>
      <c r="V19" s="11">
        <f>V18+U19</f>
        <v/>
      </c>
    </row>
    <row r="20">
      <c r="A20" s="13" t="n">
        <v>19</v>
      </c>
      <c r="B20" s="13" t="inlineStr">
        <is>
          <t>01.02.2028</t>
        </is>
      </c>
      <c r="C20" s="14" t="inlineStr">
        <is>
          <t>Эксплуатация</t>
        </is>
      </c>
      <c r="D20" s="15">
        <f>'Параметры'!$C$4*'Параметры'!$C$7*(1+'Параметры'!$C$8)^INT((A20-'Параметры'!$C$11-1)/12)</f>
        <v/>
      </c>
      <c r="E20" s="15">
        <f>D20/(1+'Параметры'!$C$13)</f>
        <v/>
      </c>
      <c r="F20" s="15">
        <f>D20-E20</f>
        <v/>
      </c>
      <c r="G20" s="15">
        <f>IF(AND(A20&gt;'Параметры'!$C$11,A20&lt;='Параметры'!$C$11+3),'Параметры'!$C$28,0)</f>
        <v/>
      </c>
      <c r="H20" s="15">
        <f>F20-G20</f>
        <v/>
      </c>
      <c r="I20" s="15">
        <f>E20*'Параметры'!$C$16</f>
        <v/>
      </c>
      <c r="J20" s="15">
        <f>'Параметры'!$C$27</f>
        <v/>
      </c>
      <c r="K20" s="15">
        <f>MAX(0,'Параметры'!$C$20-'Параметры'!$C$27*MAX(0,A20-'Параметры'!$C$11-1))*'Параметры'!$C$15/12</f>
        <v/>
      </c>
      <c r="L20" s="15">
        <f>E20-I20-J20-K20</f>
        <v/>
      </c>
      <c r="M20" s="15">
        <f>T19*'Параметры'!$C$10/12</f>
        <v/>
      </c>
      <c r="N20" s="15">
        <f>L20-M20</f>
        <v/>
      </c>
      <c r="O20" s="15">
        <f>MAX(0,N20*'Параметры'!$C$14)</f>
        <v/>
      </c>
      <c r="P20" s="15">
        <f>N20-O20</f>
        <v/>
      </c>
      <c r="Q20" s="15" t="n">
        <v>0</v>
      </c>
      <c r="R20" s="15" t="n">
        <v>0</v>
      </c>
      <c r="S20" s="15">
        <f>MAX(0,MIN('Параметры'!$C$26-M20,T19))</f>
        <v/>
      </c>
      <c r="T20" s="15">
        <f>MAX(0,T19-S20)</f>
        <v/>
      </c>
      <c r="U20" s="15">
        <f>P20+J20-S20-H20</f>
        <v/>
      </c>
      <c r="V20" s="15">
        <f>V19+U20</f>
        <v/>
      </c>
    </row>
    <row r="21">
      <c r="A21" s="16" t="n">
        <v>20</v>
      </c>
      <c r="B21" s="16" t="inlineStr">
        <is>
          <t>01.03.2028</t>
        </is>
      </c>
      <c r="C21" s="17" t="inlineStr">
        <is>
          <t>Эксплуатация</t>
        </is>
      </c>
      <c r="D21" s="11">
        <f>'Параметры'!$C$4*'Параметры'!$C$7*(1+'Параметры'!$C$8)^INT((A21-'Параметры'!$C$11-1)/12)</f>
        <v/>
      </c>
      <c r="E21" s="11">
        <f>D21/(1+'Параметры'!$C$13)</f>
        <v/>
      </c>
      <c r="F21" s="11">
        <f>D21-E21</f>
        <v/>
      </c>
      <c r="G21" s="11">
        <f>IF(AND(A21&gt;'Параметры'!$C$11,A21&lt;='Параметры'!$C$11+3),'Параметры'!$C$28,0)</f>
        <v/>
      </c>
      <c r="H21" s="11">
        <f>F21-G21</f>
        <v/>
      </c>
      <c r="I21" s="11">
        <f>E21*'Параметры'!$C$16</f>
        <v/>
      </c>
      <c r="J21" s="11">
        <f>'Параметры'!$C$27</f>
        <v/>
      </c>
      <c r="K21" s="11">
        <f>MAX(0,'Параметры'!$C$20-'Параметры'!$C$27*MAX(0,A21-'Параметры'!$C$11-1))*'Параметры'!$C$15/12</f>
        <v/>
      </c>
      <c r="L21" s="11">
        <f>E21-I21-J21-K21</f>
        <v/>
      </c>
      <c r="M21" s="11">
        <f>T20*'Параметры'!$C$10/12</f>
        <v/>
      </c>
      <c r="N21" s="11">
        <f>L21-M21</f>
        <v/>
      </c>
      <c r="O21" s="11">
        <f>MAX(0,N21*'Параметры'!$C$14)</f>
        <v/>
      </c>
      <c r="P21" s="11">
        <f>N21-O21</f>
        <v/>
      </c>
      <c r="Q21" s="11" t="n">
        <v>0</v>
      </c>
      <c r="R21" s="11" t="n">
        <v>0</v>
      </c>
      <c r="S21" s="11">
        <f>MAX(0,MIN('Параметры'!$C$26-M21,T20))</f>
        <v/>
      </c>
      <c r="T21" s="11">
        <f>MAX(0,T20-S21)</f>
        <v/>
      </c>
      <c r="U21" s="11">
        <f>P21+J21-S21-H21</f>
        <v/>
      </c>
      <c r="V21" s="11">
        <f>V20+U21</f>
        <v/>
      </c>
    </row>
    <row r="22">
      <c r="A22" s="13" t="n">
        <v>21</v>
      </c>
      <c r="B22" s="13" t="inlineStr">
        <is>
          <t>01.04.2028</t>
        </is>
      </c>
      <c r="C22" s="14" t="inlineStr">
        <is>
          <t>Эксплуатация</t>
        </is>
      </c>
      <c r="D22" s="15">
        <f>'Параметры'!$C$4*'Параметры'!$C$7*(1+'Параметры'!$C$8)^INT((A22-'Параметры'!$C$11-1)/12)</f>
        <v/>
      </c>
      <c r="E22" s="15">
        <f>D22/(1+'Параметры'!$C$13)</f>
        <v/>
      </c>
      <c r="F22" s="15">
        <f>D22-E22</f>
        <v/>
      </c>
      <c r="G22" s="15">
        <f>IF(AND(A22&gt;'Параметры'!$C$11,A22&lt;='Параметры'!$C$11+3),'Параметры'!$C$28,0)</f>
        <v/>
      </c>
      <c r="H22" s="15">
        <f>F22-G22</f>
        <v/>
      </c>
      <c r="I22" s="15">
        <f>E22*'Параметры'!$C$16</f>
        <v/>
      </c>
      <c r="J22" s="15">
        <f>'Параметры'!$C$27</f>
        <v/>
      </c>
      <c r="K22" s="15">
        <f>MAX(0,'Параметры'!$C$20-'Параметры'!$C$27*MAX(0,A22-'Параметры'!$C$11-1))*'Параметры'!$C$15/12</f>
        <v/>
      </c>
      <c r="L22" s="15">
        <f>E22-I22-J22-K22</f>
        <v/>
      </c>
      <c r="M22" s="15">
        <f>T21*'Параметры'!$C$10/12</f>
        <v/>
      </c>
      <c r="N22" s="15">
        <f>L22-M22</f>
        <v/>
      </c>
      <c r="O22" s="15">
        <f>MAX(0,N22*'Параметры'!$C$14)</f>
        <v/>
      </c>
      <c r="P22" s="15">
        <f>N22-O22</f>
        <v/>
      </c>
      <c r="Q22" s="15" t="n">
        <v>0</v>
      </c>
      <c r="R22" s="15" t="n">
        <v>0</v>
      </c>
      <c r="S22" s="15">
        <f>MAX(0,MIN('Параметры'!$C$26-M22,T21))</f>
        <v/>
      </c>
      <c r="T22" s="15">
        <f>MAX(0,T21-S22)</f>
        <v/>
      </c>
      <c r="U22" s="15">
        <f>P22+J22-S22-H22</f>
        <v/>
      </c>
      <c r="V22" s="15">
        <f>V21+U22</f>
        <v/>
      </c>
    </row>
    <row r="23">
      <c r="A23" s="16" t="n">
        <v>22</v>
      </c>
      <c r="B23" s="16" t="inlineStr">
        <is>
          <t>01.05.2028</t>
        </is>
      </c>
      <c r="C23" s="17" t="inlineStr">
        <is>
          <t>Эксплуатация</t>
        </is>
      </c>
      <c r="D23" s="11">
        <f>'Параметры'!$C$4*'Параметры'!$C$7*(1+'Параметры'!$C$8)^INT((A23-'Параметры'!$C$11-1)/12)</f>
        <v/>
      </c>
      <c r="E23" s="11">
        <f>D23/(1+'Параметры'!$C$13)</f>
        <v/>
      </c>
      <c r="F23" s="11">
        <f>D23-E23</f>
        <v/>
      </c>
      <c r="G23" s="11">
        <f>IF(AND(A23&gt;'Параметры'!$C$11,A23&lt;='Параметры'!$C$11+3),'Параметры'!$C$28,0)</f>
        <v/>
      </c>
      <c r="H23" s="11">
        <f>F23-G23</f>
        <v/>
      </c>
      <c r="I23" s="11">
        <f>E23*'Параметры'!$C$16</f>
        <v/>
      </c>
      <c r="J23" s="11">
        <f>'Параметры'!$C$27</f>
        <v/>
      </c>
      <c r="K23" s="11">
        <f>MAX(0,'Параметры'!$C$20-'Параметры'!$C$27*MAX(0,A23-'Параметры'!$C$11-1))*'Параметры'!$C$15/12</f>
        <v/>
      </c>
      <c r="L23" s="11">
        <f>E23-I23-J23-K23</f>
        <v/>
      </c>
      <c r="M23" s="11">
        <f>T22*'Параметры'!$C$10/12</f>
        <v/>
      </c>
      <c r="N23" s="11">
        <f>L23-M23</f>
        <v/>
      </c>
      <c r="O23" s="11">
        <f>MAX(0,N23*'Параметры'!$C$14)</f>
        <v/>
      </c>
      <c r="P23" s="11">
        <f>N23-O23</f>
        <v/>
      </c>
      <c r="Q23" s="11" t="n">
        <v>0</v>
      </c>
      <c r="R23" s="11" t="n">
        <v>0</v>
      </c>
      <c r="S23" s="11">
        <f>MAX(0,MIN('Параметры'!$C$26-M23,T22))</f>
        <v/>
      </c>
      <c r="T23" s="11">
        <f>MAX(0,T22-S23)</f>
        <v/>
      </c>
      <c r="U23" s="11">
        <f>P23+J23-S23-H23</f>
        <v/>
      </c>
      <c r="V23" s="11">
        <f>V22+U23</f>
        <v/>
      </c>
    </row>
    <row r="24">
      <c r="A24" s="13" t="n">
        <v>23</v>
      </c>
      <c r="B24" s="13" t="inlineStr">
        <is>
          <t>01.06.2028</t>
        </is>
      </c>
      <c r="C24" s="14" t="inlineStr">
        <is>
          <t>Эксплуатация</t>
        </is>
      </c>
      <c r="D24" s="15">
        <f>'Параметры'!$C$4*'Параметры'!$C$7*(1+'Параметры'!$C$8)^INT((A24-'Параметры'!$C$11-1)/12)</f>
        <v/>
      </c>
      <c r="E24" s="15">
        <f>D24/(1+'Параметры'!$C$13)</f>
        <v/>
      </c>
      <c r="F24" s="15">
        <f>D24-E24</f>
        <v/>
      </c>
      <c r="G24" s="15">
        <f>IF(AND(A24&gt;'Параметры'!$C$11,A24&lt;='Параметры'!$C$11+3),'Параметры'!$C$28,0)</f>
        <v/>
      </c>
      <c r="H24" s="15">
        <f>F24-G24</f>
        <v/>
      </c>
      <c r="I24" s="15">
        <f>E24*'Параметры'!$C$16</f>
        <v/>
      </c>
      <c r="J24" s="15">
        <f>'Параметры'!$C$27</f>
        <v/>
      </c>
      <c r="K24" s="15">
        <f>MAX(0,'Параметры'!$C$20-'Параметры'!$C$27*MAX(0,A24-'Параметры'!$C$11-1))*'Параметры'!$C$15/12</f>
        <v/>
      </c>
      <c r="L24" s="15">
        <f>E24-I24-J24-K24</f>
        <v/>
      </c>
      <c r="M24" s="15">
        <f>T23*'Параметры'!$C$10/12</f>
        <v/>
      </c>
      <c r="N24" s="15">
        <f>L24-M24</f>
        <v/>
      </c>
      <c r="O24" s="15">
        <f>MAX(0,N24*'Параметры'!$C$14)</f>
        <v/>
      </c>
      <c r="P24" s="15">
        <f>N24-O24</f>
        <v/>
      </c>
      <c r="Q24" s="15" t="n">
        <v>0</v>
      </c>
      <c r="R24" s="15" t="n">
        <v>0</v>
      </c>
      <c r="S24" s="15">
        <f>MAX(0,MIN('Параметры'!$C$26-M24,T23))</f>
        <v/>
      </c>
      <c r="T24" s="15">
        <f>MAX(0,T23-S24)</f>
        <v/>
      </c>
      <c r="U24" s="15">
        <f>P24+J24-S24-H24</f>
        <v/>
      </c>
      <c r="V24" s="15">
        <f>V23+U24</f>
        <v/>
      </c>
    </row>
    <row r="25">
      <c r="A25" s="16" t="n">
        <v>24</v>
      </c>
      <c r="B25" s="16" t="inlineStr">
        <is>
          <t>01.07.2028</t>
        </is>
      </c>
      <c r="C25" s="17" t="inlineStr">
        <is>
          <t>Эксплуатация</t>
        </is>
      </c>
      <c r="D25" s="11">
        <f>'Параметры'!$C$4*'Параметры'!$C$7*(1+'Параметры'!$C$8)^INT((A25-'Параметры'!$C$11-1)/12)</f>
        <v/>
      </c>
      <c r="E25" s="11">
        <f>D25/(1+'Параметры'!$C$13)</f>
        <v/>
      </c>
      <c r="F25" s="11">
        <f>D25-E25</f>
        <v/>
      </c>
      <c r="G25" s="11">
        <f>IF(AND(A25&gt;'Параметры'!$C$11,A25&lt;='Параметры'!$C$11+3),'Параметры'!$C$28,0)</f>
        <v/>
      </c>
      <c r="H25" s="11">
        <f>F25-G25</f>
        <v/>
      </c>
      <c r="I25" s="11">
        <f>E25*'Параметры'!$C$16</f>
        <v/>
      </c>
      <c r="J25" s="11">
        <f>'Параметры'!$C$27</f>
        <v/>
      </c>
      <c r="K25" s="11">
        <f>MAX(0,'Параметры'!$C$20-'Параметры'!$C$27*MAX(0,A25-'Параметры'!$C$11-1))*'Параметры'!$C$15/12</f>
        <v/>
      </c>
      <c r="L25" s="11">
        <f>E25-I25-J25-K25</f>
        <v/>
      </c>
      <c r="M25" s="11">
        <f>T24*'Параметры'!$C$10/12</f>
        <v/>
      </c>
      <c r="N25" s="11">
        <f>L25-M25</f>
        <v/>
      </c>
      <c r="O25" s="11">
        <f>MAX(0,N25*'Параметры'!$C$14)</f>
        <v/>
      </c>
      <c r="P25" s="11">
        <f>N25-O25</f>
        <v/>
      </c>
      <c r="Q25" s="11" t="n">
        <v>0</v>
      </c>
      <c r="R25" s="11" t="n">
        <v>0</v>
      </c>
      <c r="S25" s="11">
        <f>MAX(0,MIN('Параметры'!$C$26-M25,T24))</f>
        <v/>
      </c>
      <c r="T25" s="11">
        <f>MAX(0,T24-S25)</f>
        <v/>
      </c>
      <c r="U25" s="11">
        <f>P25+J25-S25-H25</f>
        <v/>
      </c>
      <c r="V25" s="11">
        <f>V24+U25</f>
        <v/>
      </c>
    </row>
    <row r="26">
      <c r="A26" s="13" t="n">
        <v>25</v>
      </c>
      <c r="B26" s="13" t="inlineStr">
        <is>
          <t>01.08.2028</t>
        </is>
      </c>
      <c r="C26" s="14" t="inlineStr">
        <is>
          <t>Эксплуатация</t>
        </is>
      </c>
      <c r="D26" s="15">
        <f>'Параметры'!$C$4*'Параметры'!$C$7*(1+'Параметры'!$C$8)^INT((A26-'Параметры'!$C$11-1)/12)</f>
        <v/>
      </c>
      <c r="E26" s="15">
        <f>D26/(1+'Параметры'!$C$13)</f>
        <v/>
      </c>
      <c r="F26" s="15">
        <f>D26-E26</f>
        <v/>
      </c>
      <c r="G26" s="15">
        <f>IF(AND(A26&gt;'Параметры'!$C$11,A26&lt;='Параметры'!$C$11+3),'Параметры'!$C$28,0)</f>
        <v/>
      </c>
      <c r="H26" s="15">
        <f>F26-G26</f>
        <v/>
      </c>
      <c r="I26" s="15">
        <f>E26*'Параметры'!$C$16</f>
        <v/>
      </c>
      <c r="J26" s="15">
        <f>'Параметры'!$C$27</f>
        <v/>
      </c>
      <c r="K26" s="15">
        <f>MAX(0,'Параметры'!$C$20-'Параметры'!$C$27*MAX(0,A26-'Параметры'!$C$11-1))*'Параметры'!$C$15/12</f>
        <v/>
      </c>
      <c r="L26" s="15">
        <f>E26-I26-J26-K26</f>
        <v/>
      </c>
      <c r="M26" s="15">
        <f>T25*'Параметры'!$C$10/12</f>
        <v/>
      </c>
      <c r="N26" s="15">
        <f>L26-M26</f>
        <v/>
      </c>
      <c r="O26" s="15">
        <f>MAX(0,N26*'Параметры'!$C$14)</f>
        <v/>
      </c>
      <c r="P26" s="15">
        <f>N26-O26</f>
        <v/>
      </c>
      <c r="Q26" s="15" t="n">
        <v>0</v>
      </c>
      <c r="R26" s="15" t="n">
        <v>0</v>
      </c>
      <c r="S26" s="15">
        <f>MAX(0,MIN('Параметры'!$C$26-M26,T25))</f>
        <v/>
      </c>
      <c r="T26" s="15">
        <f>MAX(0,T25-S26)</f>
        <v/>
      </c>
      <c r="U26" s="15">
        <f>P26+J26-S26-H26</f>
        <v/>
      </c>
      <c r="V26" s="15">
        <f>V25+U26</f>
        <v/>
      </c>
    </row>
    <row r="27">
      <c r="A27" s="16" t="n">
        <v>26</v>
      </c>
      <c r="B27" s="16" t="inlineStr">
        <is>
          <t>01.09.2028</t>
        </is>
      </c>
      <c r="C27" s="17" t="inlineStr">
        <is>
          <t>Эксплуатация</t>
        </is>
      </c>
      <c r="D27" s="11">
        <f>'Параметры'!$C$4*'Параметры'!$C$7*(1+'Параметры'!$C$8)^INT((A27-'Параметры'!$C$11-1)/12)</f>
        <v/>
      </c>
      <c r="E27" s="11">
        <f>D27/(1+'Параметры'!$C$13)</f>
        <v/>
      </c>
      <c r="F27" s="11">
        <f>D27-E27</f>
        <v/>
      </c>
      <c r="G27" s="11">
        <f>IF(AND(A27&gt;'Параметры'!$C$11,A27&lt;='Параметры'!$C$11+3),'Параметры'!$C$28,0)</f>
        <v/>
      </c>
      <c r="H27" s="11">
        <f>F27-G27</f>
        <v/>
      </c>
      <c r="I27" s="11">
        <f>E27*'Параметры'!$C$16</f>
        <v/>
      </c>
      <c r="J27" s="11">
        <f>'Параметры'!$C$27</f>
        <v/>
      </c>
      <c r="K27" s="11">
        <f>MAX(0,'Параметры'!$C$20-'Параметры'!$C$27*MAX(0,A27-'Параметры'!$C$11-1))*'Параметры'!$C$15/12</f>
        <v/>
      </c>
      <c r="L27" s="11">
        <f>E27-I27-J27-K27</f>
        <v/>
      </c>
      <c r="M27" s="11">
        <f>T26*'Параметры'!$C$10/12</f>
        <v/>
      </c>
      <c r="N27" s="11">
        <f>L27-M27</f>
        <v/>
      </c>
      <c r="O27" s="11">
        <f>MAX(0,N27*'Параметры'!$C$14)</f>
        <v/>
      </c>
      <c r="P27" s="11">
        <f>N27-O27</f>
        <v/>
      </c>
      <c r="Q27" s="11" t="n">
        <v>0</v>
      </c>
      <c r="R27" s="11" t="n">
        <v>0</v>
      </c>
      <c r="S27" s="11">
        <f>MAX(0,MIN('Параметры'!$C$26-M27,T26))</f>
        <v/>
      </c>
      <c r="T27" s="11">
        <f>MAX(0,T26-S27)</f>
        <v/>
      </c>
      <c r="U27" s="11">
        <f>P27+J27-S27-H27</f>
        <v/>
      </c>
      <c r="V27" s="11">
        <f>V26+U27</f>
        <v/>
      </c>
    </row>
    <row r="28">
      <c r="A28" s="13" t="n">
        <v>27</v>
      </c>
      <c r="B28" s="13" t="inlineStr">
        <is>
          <t>01.10.2028</t>
        </is>
      </c>
      <c r="C28" s="14" t="inlineStr">
        <is>
          <t>Эксплуатация</t>
        </is>
      </c>
      <c r="D28" s="15">
        <f>'Параметры'!$C$4*'Параметры'!$C$7*(1+'Параметры'!$C$8)^INT((A28-'Параметры'!$C$11-1)/12)</f>
        <v/>
      </c>
      <c r="E28" s="15">
        <f>D28/(1+'Параметры'!$C$13)</f>
        <v/>
      </c>
      <c r="F28" s="15">
        <f>D28-E28</f>
        <v/>
      </c>
      <c r="G28" s="15">
        <f>IF(AND(A28&gt;'Параметры'!$C$11,A28&lt;='Параметры'!$C$11+3),'Параметры'!$C$28,0)</f>
        <v/>
      </c>
      <c r="H28" s="15">
        <f>F28-G28</f>
        <v/>
      </c>
      <c r="I28" s="15">
        <f>E28*'Параметры'!$C$16</f>
        <v/>
      </c>
      <c r="J28" s="15">
        <f>'Параметры'!$C$27</f>
        <v/>
      </c>
      <c r="K28" s="15">
        <f>MAX(0,'Параметры'!$C$20-'Параметры'!$C$27*MAX(0,A28-'Параметры'!$C$11-1))*'Параметры'!$C$15/12</f>
        <v/>
      </c>
      <c r="L28" s="15">
        <f>E28-I28-J28-K28</f>
        <v/>
      </c>
      <c r="M28" s="15">
        <f>T27*'Параметры'!$C$10/12</f>
        <v/>
      </c>
      <c r="N28" s="15">
        <f>L28-M28</f>
        <v/>
      </c>
      <c r="O28" s="15">
        <f>MAX(0,N28*'Параметры'!$C$14)</f>
        <v/>
      </c>
      <c r="P28" s="15">
        <f>N28-O28</f>
        <v/>
      </c>
      <c r="Q28" s="15" t="n">
        <v>0</v>
      </c>
      <c r="R28" s="15" t="n">
        <v>0</v>
      </c>
      <c r="S28" s="15">
        <f>MAX(0,MIN('Параметры'!$C$26-M28,T27))</f>
        <v/>
      </c>
      <c r="T28" s="15">
        <f>MAX(0,T27-S28)</f>
        <v/>
      </c>
      <c r="U28" s="15">
        <f>P28+J28-S28-H28</f>
        <v/>
      </c>
      <c r="V28" s="15">
        <f>V27+U28</f>
        <v/>
      </c>
    </row>
    <row r="29">
      <c r="A29" s="16" t="n">
        <v>28</v>
      </c>
      <c r="B29" s="16" t="inlineStr">
        <is>
          <t>01.11.2028</t>
        </is>
      </c>
      <c r="C29" s="17" t="inlineStr">
        <is>
          <t>Эксплуатация</t>
        </is>
      </c>
      <c r="D29" s="11">
        <f>'Параметры'!$C$4*'Параметры'!$C$7*(1+'Параметры'!$C$8)^INT((A29-'Параметры'!$C$11-1)/12)</f>
        <v/>
      </c>
      <c r="E29" s="11">
        <f>D29/(1+'Параметры'!$C$13)</f>
        <v/>
      </c>
      <c r="F29" s="11">
        <f>D29-E29</f>
        <v/>
      </c>
      <c r="G29" s="11">
        <f>IF(AND(A29&gt;'Параметры'!$C$11,A29&lt;='Параметры'!$C$11+3),'Параметры'!$C$28,0)</f>
        <v/>
      </c>
      <c r="H29" s="11">
        <f>F29-G29</f>
        <v/>
      </c>
      <c r="I29" s="11">
        <f>E29*'Параметры'!$C$16</f>
        <v/>
      </c>
      <c r="J29" s="11">
        <f>'Параметры'!$C$27</f>
        <v/>
      </c>
      <c r="K29" s="11">
        <f>MAX(0,'Параметры'!$C$20-'Параметры'!$C$27*MAX(0,A29-'Параметры'!$C$11-1))*'Параметры'!$C$15/12</f>
        <v/>
      </c>
      <c r="L29" s="11">
        <f>E29-I29-J29-K29</f>
        <v/>
      </c>
      <c r="M29" s="11">
        <f>T28*'Параметры'!$C$10/12</f>
        <v/>
      </c>
      <c r="N29" s="11">
        <f>L29-M29</f>
        <v/>
      </c>
      <c r="O29" s="11">
        <f>MAX(0,N29*'Параметры'!$C$14)</f>
        <v/>
      </c>
      <c r="P29" s="11">
        <f>N29-O29</f>
        <v/>
      </c>
      <c r="Q29" s="11" t="n">
        <v>0</v>
      </c>
      <c r="R29" s="11" t="n">
        <v>0</v>
      </c>
      <c r="S29" s="11">
        <f>MAX(0,MIN('Параметры'!$C$26-M29,T28))</f>
        <v/>
      </c>
      <c r="T29" s="11">
        <f>MAX(0,T28-S29)</f>
        <v/>
      </c>
      <c r="U29" s="11">
        <f>P29+J29-S29-H29</f>
        <v/>
      </c>
      <c r="V29" s="11">
        <f>V28+U29</f>
        <v/>
      </c>
    </row>
    <row r="30">
      <c r="A30" s="13" t="n">
        <v>29</v>
      </c>
      <c r="B30" s="13" t="inlineStr">
        <is>
          <t>01.12.2028</t>
        </is>
      </c>
      <c r="C30" s="14" t="inlineStr">
        <is>
          <t>Эксплуатация</t>
        </is>
      </c>
      <c r="D30" s="15">
        <f>'Параметры'!$C$4*'Параметры'!$C$7*(1+'Параметры'!$C$8)^INT((A30-'Параметры'!$C$11-1)/12)</f>
        <v/>
      </c>
      <c r="E30" s="15">
        <f>D30/(1+'Параметры'!$C$13)</f>
        <v/>
      </c>
      <c r="F30" s="15">
        <f>D30-E30</f>
        <v/>
      </c>
      <c r="G30" s="15">
        <f>IF(AND(A30&gt;'Параметры'!$C$11,A30&lt;='Параметры'!$C$11+3),'Параметры'!$C$28,0)</f>
        <v/>
      </c>
      <c r="H30" s="15">
        <f>F30-G30</f>
        <v/>
      </c>
      <c r="I30" s="15">
        <f>E30*'Параметры'!$C$16</f>
        <v/>
      </c>
      <c r="J30" s="15">
        <f>'Параметры'!$C$27</f>
        <v/>
      </c>
      <c r="K30" s="15">
        <f>MAX(0,'Параметры'!$C$20-'Параметры'!$C$27*MAX(0,A30-'Параметры'!$C$11-1))*'Параметры'!$C$15/12</f>
        <v/>
      </c>
      <c r="L30" s="15">
        <f>E30-I30-J30-K30</f>
        <v/>
      </c>
      <c r="M30" s="15">
        <f>T29*'Параметры'!$C$10/12</f>
        <v/>
      </c>
      <c r="N30" s="15">
        <f>L30-M30</f>
        <v/>
      </c>
      <c r="O30" s="15">
        <f>MAX(0,N30*'Параметры'!$C$14)</f>
        <v/>
      </c>
      <c r="P30" s="15">
        <f>N30-O30</f>
        <v/>
      </c>
      <c r="Q30" s="15" t="n">
        <v>0</v>
      </c>
      <c r="R30" s="15" t="n">
        <v>0</v>
      </c>
      <c r="S30" s="15">
        <f>MAX(0,MIN('Параметры'!$C$26-M30,T29))</f>
        <v/>
      </c>
      <c r="T30" s="15">
        <f>MAX(0,T29-S30)</f>
        <v/>
      </c>
      <c r="U30" s="15">
        <f>P30+J30-S30-H30</f>
        <v/>
      </c>
      <c r="V30" s="15">
        <f>V29+U30</f>
        <v/>
      </c>
    </row>
    <row r="31">
      <c r="A31" s="16" t="n">
        <v>30</v>
      </c>
      <c r="B31" s="16" t="inlineStr">
        <is>
          <t>01.01.2029</t>
        </is>
      </c>
      <c r="C31" s="17" t="inlineStr">
        <is>
          <t>Эксплуатация</t>
        </is>
      </c>
      <c r="D31" s="11">
        <f>'Параметры'!$C$4*'Параметры'!$C$7*(1+'Параметры'!$C$8)^INT((A31-'Параметры'!$C$11-1)/12)</f>
        <v/>
      </c>
      <c r="E31" s="11">
        <f>D31/(1+'Параметры'!$C$13)</f>
        <v/>
      </c>
      <c r="F31" s="11">
        <f>D31-E31</f>
        <v/>
      </c>
      <c r="G31" s="11">
        <f>IF(AND(A31&gt;'Параметры'!$C$11,A31&lt;='Параметры'!$C$11+3),'Параметры'!$C$28,0)</f>
        <v/>
      </c>
      <c r="H31" s="11">
        <f>F31-G31</f>
        <v/>
      </c>
      <c r="I31" s="11">
        <f>E31*'Параметры'!$C$16</f>
        <v/>
      </c>
      <c r="J31" s="11">
        <f>'Параметры'!$C$27</f>
        <v/>
      </c>
      <c r="K31" s="11">
        <f>MAX(0,'Параметры'!$C$20-'Параметры'!$C$27*MAX(0,A31-'Параметры'!$C$11-1))*'Параметры'!$C$15/12</f>
        <v/>
      </c>
      <c r="L31" s="11">
        <f>E31-I31-J31-K31</f>
        <v/>
      </c>
      <c r="M31" s="11">
        <f>T30*'Параметры'!$C$10/12</f>
        <v/>
      </c>
      <c r="N31" s="11">
        <f>L31-M31</f>
        <v/>
      </c>
      <c r="O31" s="11">
        <f>MAX(0,N31*'Параметры'!$C$14)</f>
        <v/>
      </c>
      <c r="P31" s="11">
        <f>N31-O31</f>
        <v/>
      </c>
      <c r="Q31" s="11" t="n">
        <v>0</v>
      </c>
      <c r="R31" s="11" t="n">
        <v>0</v>
      </c>
      <c r="S31" s="11">
        <f>MAX(0,MIN('Параметры'!$C$26-M31,T30))</f>
        <v/>
      </c>
      <c r="T31" s="11">
        <f>MAX(0,T30-S31)</f>
        <v/>
      </c>
      <c r="U31" s="11">
        <f>P31+J31-S31-H31</f>
        <v/>
      </c>
      <c r="V31" s="11">
        <f>V30+U31</f>
        <v/>
      </c>
    </row>
    <row r="32">
      <c r="A32" s="13" t="n">
        <v>31</v>
      </c>
      <c r="B32" s="13" t="inlineStr">
        <is>
          <t>01.02.2029</t>
        </is>
      </c>
      <c r="C32" s="14" t="inlineStr">
        <is>
          <t>Эксплуатация</t>
        </is>
      </c>
      <c r="D32" s="15">
        <f>'Параметры'!$C$4*'Параметры'!$C$7*(1+'Параметры'!$C$8)^INT((A32-'Параметры'!$C$11-1)/12)</f>
        <v/>
      </c>
      <c r="E32" s="15">
        <f>D32/(1+'Параметры'!$C$13)</f>
        <v/>
      </c>
      <c r="F32" s="15">
        <f>D32-E32</f>
        <v/>
      </c>
      <c r="G32" s="15">
        <f>IF(AND(A32&gt;'Параметры'!$C$11,A32&lt;='Параметры'!$C$11+3),'Параметры'!$C$28,0)</f>
        <v/>
      </c>
      <c r="H32" s="15">
        <f>F32-G32</f>
        <v/>
      </c>
      <c r="I32" s="15">
        <f>E32*'Параметры'!$C$16</f>
        <v/>
      </c>
      <c r="J32" s="15">
        <f>'Параметры'!$C$27</f>
        <v/>
      </c>
      <c r="K32" s="15">
        <f>MAX(0,'Параметры'!$C$20-'Параметры'!$C$27*MAX(0,A32-'Параметры'!$C$11-1))*'Параметры'!$C$15/12</f>
        <v/>
      </c>
      <c r="L32" s="15">
        <f>E32-I32-J32-K32</f>
        <v/>
      </c>
      <c r="M32" s="15">
        <f>T31*'Параметры'!$C$10/12</f>
        <v/>
      </c>
      <c r="N32" s="15">
        <f>L32-M32</f>
        <v/>
      </c>
      <c r="O32" s="15">
        <f>MAX(0,N32*'Параметры'!$C$14)</f>
        <v/>
      </c>
      <c r="P32" s="15">
        <f>N32-O32</f>
        <v/>
      </c>
      <c r="Q32" s="15" t="n">
        <v>0</v>
      </c>
      <c r="R32" s="15" t="n">
        <v>0</v>
      </c>
      <c r="S32" s="15">
        <f>MAX(0,MIN('Параметры'!$C$26-M32,T31))</f>
        <v/>
      </c>
      <c r="T32" s="15">
        <f>MAX(0,T31-S32)</f>
        <v/>
      </c>
      <c r="U32" s="15">
        <f>P32+J32-S32-H32</f>
        <v/>
      </c>
      <c r="V32" s="15">
        <f>V31+U32</f>
        <v/>
      </c>
    </row>
    <row r="33">
      <c r="A33" s="16" t="n">
        <v>32</v>
      </c>
      <c r="B33" s="16" t="inlineStr">
        <is>
          <t>01.03.2029</t>
        </is>
      </c>
      <c r="C33" s="17" t="inlineStr">
        <is>
          <t>Эксплуатация</t>
        </is>
      </c>
      <c r="D33" s="11">
        <f>'Параметры'!$C$4*'Параметры'!$C$7*(1+'Параметры'!$C$8)^INT((A33-'Параметры'!$C$11-1)/12)</f>
        <v/>
      </c>
      <c r="E33" s="11">
        <f>D33/(1+'Параметры'!$C$13)</f>
        <v/>
      </c>
      <c r="F33" s="11">
        <f>D33-E33</f>
        <v/>
      </c>
      <c r="G33" s="11">
        <f>IF(AND(A33&gt;'Параметры'!$C$11,A33&lt;='Параметры'!$C$11+3),'Параметры'!$C$28,0)</f>
        <v/>
      </c>
      <c r="H33" s="11">
        <f>F33-G33</f>
        <v/>
      </c>
      <c r="I33" s="11">
        <f>E33*'Параметры'!$C$16</f>
        <v/>
      </c>
      <c r="J33" s="11">
        <f>'Параметры'!$C$27</f>
        <v/>
      </c>
      <c r="K33" s="11">
        <f>MAX(0,'Параметры'!$C$20-'Параметры'!$C$27*MAX(0,A33-'Параметры'!$C$11-1))*'Параметры'!$C$15/12</f>
        <v/>
      </c>
      <c r="L33" s="11">
        <f>E33-I33-J33-K33</f>
        <v/>
      </c>
      <c r="M33" s="11">
        <f>T32*'Параметры'!$C$10/12</f>
        <v/>
      </c>
      <c r="N33" s="11">
        <f>L33-M33</f>
        <v/>
      </c>
      <c r="O33" s="11">
        <f>MAX(0,N33*'Параметры'!$C$14)</f>
        <v/>
      </c>
      <c r="P33" s="11">
        <f>N33-O33</f>
        <v/>
      </c>
      <c r="Q33" s="11" t="n">
        <v>0</v>
      </c>
      <c r="R33" s="11" t="n">
        <v>0</v>
      </c>
      <c r="S33" s="11">
        <f>MAX(0,MIN('Параметры'!$C$26-M33,T32))</f>
        <v/>
      </c>
      <c r="T33" s="11">
        <f>MAX(0,T32-S33)</f>
        <v/>
      </c>
      <c r="U33" s="11">
        <f>P33+J33-S33-H33</f>
        <v/>
      </c>
      <c r="V33" s="11">
        <f>V32+U33</f>
        <v/>
      </c>
    </row>
    <row r="34">
      <c r="A34" s="13" t="n">
        <v>33</v>
      </c>
      <c r="B34" s="13" t="inlineStr">
        <is>
          <t>01.04.2029</t>
        </is>
      </c>
      <c r="C34" s="14" t="inlineStr">
        <is>
          <t>Эксплуатация</t>
        </is>
      </c>
      <c r="D34" s="15">
        <f>'Параметры'!$C$4*'Параметры'!$C$7*(1+'Параметры'!$C$8)^INT((A34-'Параметры'!$C$11-1)/12)</f>
        <v/>
      </c>
      <c r="E34" s="15">
        <f>D34/(1+'Параметры'!$C$13)</f>
        <v/>
      </c>
      <c r="F34" s="15">
        <f>D34-E34</f>
        <v/>
      </c>
      <c r="G34" s="15">
        <f>IF(AND(A34&gt;'Параметры'!$C$11,A34&lt;='Параметры'!$C$11+3),'Параметры'!$C$28,0)</f>
        <v/>
      </c>
      <c r="H34" s="15">
        <f>F34-G34</f>
        <v/>
      </c>
      <c r="I34" s="15">
        <f>E34*'Параметры'!$C$16</f>
        <v/>
      </c>
      <c r="J34" s="15">
        <f>'Параметры'!$C$27</f>
        <v/>
      </c>
      <c r="K34" s="15">
        <f>MAX(0,'Параметры'!$C$20-'Параметры'!$C$27*MAX(0,A34-'Параметры'!$C$11-1))*'Параметры'!$C$15/12</f>
        <v/>
      </c>
      <c r="L34" s="15">
        <f>E34-I34-J34-K34</f>
        <v/>
      </c>
      <c r="M34" s="15">
        <f>T33*'Параметры'!$C$10/12</f>
        <v/>
      </c>
      <c r="N34" s="15">
        <f>L34-M34</f>
        <v/>
      </c>
      <c r="O34" s="15">
        <f>MAX(0,N34*'Параметры'!$C$14)</f>
        <v/>
      </c>
      <c r="P34" s="15">
        <f>N34-O34</f>
        <v/>
      </c>
      <c r="Q34" s="15" t="n">
        <v>0</v>
      </c>
      <c r="R34" s="15" t="n">
        <v>0</v>
      </c>
      <c r="S34" s="15">
        <f>MAX(0,MIN('Параметры'!$C$26-M34,T33))</f>
        <v/>
      </c>
      <c r="T34" s="15">
        <f>MAX(0,T33-S34)</f>
        <v/>
      </c>
      <c r="U34" s="15">
        <f>P34+J34-S34-H34</f>
        <v/>
      </c>
      <c r="V34" s="15">
        <f>V33+U34</f>
        <v/>
      </c>
    </row>
    <row r="35">
      <c r="A35" s="16" t="n">
        <v>34</v>
      </c>
      <c r="B35" s="16" t="inlineStr">
        <is>
          <t>01.05.2029</t>
        </is>
      </c>
      <c r="C35" s="17" t="inlineStr">
        <is>
          <t>Эксплуатация</t>
        </is>
      </c>
      <c r="D35" s="11">
        <f>'Параметры'!$C$4*'Параметры'!$C$7*(1+'Параметры'!$C$8)^INT((A35-'Параметры'!$C$11-1)/12)</f>
        <v/>
      </c>
      <c r="E35" s="11">
        <f>D35/(1+'Параметры'!$C$13)</f>
        <v/>
      </c>
      <c r="F35" s="11">
        <f>D35-E35</f>
        <v/>
      </c>
      <c r="G35" s="11">
        <f>IF(AND(A35&gt;'Параметры'!$C$11,A35&lt;='Параметры'!$C$11+3),'Параметры'!$C$28,0)</f>
        <v/>
      </c>
      <c r="H35" s="11">
        <f>F35-G35</f>
        <v/>
      </c>
      <c r="I35" s="11">
        <f>E35*'Параметры'!$C$16</f>
        <v/>
      </c>
      <c r="J35" s="11">
        <f>'Параметры'!$C$27</f>
        <v/>
      </c>
      <c r="K35" s="11">
        <f>MAX(0,'Параметры'!$C$20-'Параметры'!$C$27*MAX(0,A35-'Параметры'!$C$11-1))*'Параметры'!$C$15/12</f>
        <v/>
      </c>
      <c r="L35" s="11">
        <f>E35-I35-J35-K35</f>
        <v/>
      </c>
      <c r="M35" s="11">
        <f>T34*'Параметры'!$C$10/12</f>
        <v/>
      </c>
      <c r="N35" s="11">
        <f>L35-M35</f>
        <v/>
      </c>
      <c r="O35" s="11">
        <f>MAX(0,N35*'Параметры'!$C$14)</f>
        <v/>
      </c>
      <c r="P35" s="11">
        <f>N35-O35</f>
        <v/>
      </c>
      <c r="Q35" s="11" t="n">
        <v>0</v>
      </c>
      <c r="R35" s="11" t="n">
        <v>0</v>
      </c>
      <c r="S35" s="11">
        <f>MAX(0,MIN('Параметры'!$C$26-M35,T34))</f>
        <v/>
      </c>
      <c r="T35" s="11">
        <f>MAX(0,T34-S35)</f>
        <v/>
      </c>
      <c r="U35" s="11">
        <f>P35+J35-S35-H35</f>
        <v/>
      </c>
      <c r="V35" s="11">
        <f>V34+U35</f>
        <v/>
      </c>
    </row>
    <row r="36">
      <c r="A36" s="13" t="n">
        <v>35</v>
      </c>
      <c r="B36" s="13" t="inlineStr">
        <is>
          <t>01.06.2029</t>
        </is>
      </c>
      <c r="C36" s="14" t="inlineStr">
        <is>
          <t>Эксплуатация</t>
        </is>
      </c>
      <c r="D36" s="15">
        <f>'Параметры'!$C$4*'Параметры'!$C$7*(1+'Параметры'!$C$8)^INT((A36-'Параметры'!$C$11-1)/12)</f>
        <v/>
      </c>
      <c r="E36" s="15">
        <f>D36/(1+'Параметры'!$C$13)</f>
        <v/>
      </c>
      <c r="F36" s="15">
        <f>D36-E36</f>
        <v/>
      </c>
      <c r="G36" s="15">
        <f>IF(AND(A36&gt;'Параметры'!$C$11,A36&lt;='Параметры'!$C$11+3),'Параметры'!$C$28,0)</f>
        <v/>
      </c>
      <c r="H36" s="15">
        <f>F36-G36</f>
        <v/>
      </c>
      <c r="I36" s="15">
        <f>E36*'Параметры'!$C$16</f>
        <v/>
      </c>
      <c r="J36" s="15">
        <f>'Параметры'!$C$27</f>
        <v/>
      </c>
      <c r="K36" s="15">
        <f>MAX(0,'Параметры'!$C$20-'Параметры'!$C$27*MAX(0,A36-'Параметры'!$C$11-1))*'Параметры'!$C$15/12</f>
        <v/>
      </c>
      <c r="L36" s="15">
        <f>E36-I36-J36-K36</f>
        <v/>
      </c>
      <c r="M36" s="15">
        <f>T35*'Параметры'!$C$10/12</f>
        <v/>
      </c>
      <c r="N36" s="15">
        <f>L36-M36</f>
        <v/>
      </c>
      <c r="O36" s="15">
        <f>MAX(0,N36*'Параметры'!$C$14)</f>
        <v/>
      </c>
      <c r="P36" s="15">
        <f>N36-O36</f>
        <v/>
      </c>
      <c r="Q36" s="15" t="n">
        <v>0</v>
      </c>
      <c r="R36" s="15" t="n">
        <v>0</v>
      </c>
      <c r="S36" s="15">
        <f>MAX(0,MIN('Параметры'!$C$26-M36,T35))</f>
        <v/>
      </c>
      <c r="T36" s="15">
        <f>MAX(0,T35-S36)</f>
        <v/>
      </c>
      <c r="U36" s="15">
        <f>P36+J36-S36-H36</f>
        <v/>
      </c>
      <c r="V36" s="15">
        <f>V35+U36</f>
        <v/>
      </c>
    </row>
    <row r="37">
      <c r="A37" s="16" t="n">
        <v>36</v>
      </c>
      <c r="B37" s="16" t="inlineStr">
        <is>
          <t>01.07.2029</t>
        </is>
      </c>
      <c r="C37" s="17" t="inlineStr">
        <is>
          <t>Эксплуатация</t>
        </is>
      </c>
      <c r="D37" s="11">
        <f>'Параметры'!$C$4*'Параметры'!$C$7*(1+'Параметры'!$C$8)^INT((A37-'Параметры'!$C$11-1)/12)</f>
        <v/>
      </c>
      <c r="E37" s="11">
        <f>D37/(1+'Параметры'!$C$13)</f>
        <v/>
      </c>
      <c r="F37" s="11">
        <f>D37-E37</f>
        <v/>
      </c>
      <c r="G37" s="11">
        <f>IF(AND(A37&gt;'Параметры'!$C$11,A37&lt;='Параметры'!$C$11+3),'Параметры'!$C$28,0)</f>
        <v/>
      </c>
      <c r="H37" s="11">
        <f>F37-G37</f>
        <v/>
      </c>
      <c r="I37" s="11">
        <f>E37*'Параметры'!$C$16</f>
        <v/>
      </c>
      <c r="J37" s="11">
        <f>'Параметры'!$C$27</f>
        <v/>
      </c>
      <c r="K37" s="11">
        <f>MAX(0,'Параметры'!$C$20-'Параметры'!$C$27*MAX(0,A37-'Параметры'!$C$11-1))*'Параметры'!$C$15/12</f>
        <v/>
      </c>
      <c r="L37" s="11">
        <f>E37-I37-J37-K37</f>
        <v/>
      </c>
      <c r="M37" s="11">
        <f>T36*'Параметры'!$C$10/12</f>
        <v/>
      </c>
      <c r="N37" s="11">
        <f>L37-M37</f>
        <v/>
      </c>
      <c r="O37" s="11">
        <f>MAX(0,N37*'Параметры'!$C$14)</f>
        <v/>
      </c>
      <c r="P37" s="11">
        <f>N37-O37</f>
        <v/>
      </c>
      <c r="Q37" s="11" t="n">
        <v>0</v>
      </c>
      <c r="R37" s="11" t="n">
        <v>0</v>
      </c>
      <c r="S37" s="11">
        <f>MAX(0,MIN('Параметры'!$C$26-M37,T36))</f>
        <v/>
      </c>
      <c r="T37" s="11">
        <f>MAX(0,T36-S37)</f>
        <v/>
      </c>
      <c r="U37" s="11">
        <f>P37+J37-S37-H37</f>
        <v/>
      </c>
      <c r="V37" s="11">
        <f>V36+U37</f>
        <v/>
      </c>
    </row>
    <row r="38">
      <c r="A38" s="13" t="n">
        <v>37</v>
      </c>
      <c r="B38" s="13" t="inlineStr">
        <is>
          <t>01.08.2029</t>
        </is>
      </c>
      <c r="C38" s="14" t="inlineStr">
        <is>
          <t>Эксплуатация</t>
        </is>
      </c>
      <c r="D38" s="15">
        <f>'Параметры'!$C$4*'Параметры'!$C$7*(1+'Параметры'!$C$8)^INT((A38-'Параметры'!$C$11-1)/12)</f>
        <v/>
      </c>
      <c r="E38" s="15">
        <f>D38/(1+'Параметры'!$C$13)</f>
        <v/>
      </c>
      <c r="F38" s="15">
        <f>D38-E38</f>
        <v/>
      </c>
      <c r="G38" s="15">
        <f>IF(AND(A38&gt;'Параметры'!$C$11,A38&lt;='Параметры'!$C$11+3),'Параметры'!$C$28,0)</f>
        <v/>
      </c>
      <c r="H38" s="15">
        <f>F38-G38</f>
        <v/>
      </c>
      <c r="I38" s="15">
        <f>E38*'Параметры'!$C$16</f>
        <v/>
      </c>
      <c r="J38" s="15">
        <f>'Параметры'!$C$27</f>
        <v/>
      </c>
      <c r="K38" s="15">
        <f>MAX(0,'Параметры'!$C$20-'Параметры'!$C$27*MAX(0,A38-'Параметры'!$C$11-1))*'Параметры'!$C$15/12</f>
        <v/>
      </c>
      <c r="L38" s="15">
        <f>E38-I38-J38-K38</f>
        <v/>
      </c>
      <c r="M38" s="15">
        <f>T37*'Параметры'!$C$10/12</f>
        <v/>
      </c>
      <c r="N38" s="15">
        <f>L38-M38</f>
        <v/>
      </c>
      <c r="O38" s="15">
        <f>MAX(0,N38*'Параметры'!$C$14)</f>
        <v/>
      </c>
      <c r="P38" s="15">
        <f>N38-O38</f>
        <v/>
      </c>
      <c r="Q38" s="15" t="n">
        <v>0</v>
      </c>
      <c r="R38" s="15" t="n">
        <v>0</v>
      </c>
      <c r="S38" s="15">
        <f>MAX(0,MIN('Параметры'!$C$26-M38,T37))</f>
        <v/>
      </c>
      <c r="T38" s="15">
        <f>MAX(0,T37-S38)</f>
        <v/>
      </c>
      <c r="U38" s="15">
        <f>P38+J38-S38-H38</f>
        <v/>
      </c>
      <c r="V38" s="15">
        <f>V37+U38</f>
        <v/>
      </c>
    </row>
    <row r="39">
      <c r="A39" s="16" t="n">
        <v>38</v>
      </c>
      <c r="B39" s="16" t="inlineStr">
        <is>
          <t>01.09.2029</t>
        </is>
      </c>
      <c r="C39" s="17" t="inlineStr">
        <is>
          <t>Эксплуатация</t>
        </is>
      </c>
      <c r="D39" s="11">
        <f>'Параметры'!$C$4*'Параметры'!$C$7*(1+'Параметры'!$C$8)^INT((A39-'Параметры'!$C$11-1)/12)</f>
        <v/>
      </c>
      <c r="E39" s="11">
        <f>D39/(1+'Параметры'!$C$13)</f>
        <v/>
      </c>
      <c r="F39" s="11">
        <f>D39-E39</f>
        <v/>
      </c>
      <c r="G39" s="11">
        <f>IF(AND(A39&gt;'Параметры'!$C$11,A39&lt;='Параметры'!$C$11+3),'Параметры'!$C$28,0)</f>
        <v/>
      </c>
      <c r="H39" s="11">
        <f>F39-G39</f>
        <v/>
      </c>
      <c r="I39" s="11">
        <f>E39*'Параметры'!$C$16</f>
        <v/>
      </c>
      <c r="J39" s="11">
        <f>'Параметры'!$C$27</f>
        <v/>
      </c>
      <c r="K39" s="11">
        <f>MAX(0,'Параметры'!$C$20-'Параметры'!$C$27*MAX(0,A39-'Параметры'!$C$11-1))*'Параметры'!$C$15/12</f>
        <v/>
      </c>
      <c r="L39" s="11">
        <f>E39-I39-J39-K39</f>
        <v/>
      </c>
      <c r="M39" s="11">
        <f>T38*'Параметры'!$C$10/12</f>
        <v/>
      </c>
      <c r="N39" s="11">
        <f>L39-M39</f>
        <v/>
      </c>
      <c r="O39" s="11">
        <f>MAX(0,N39*'Параметры'!$C$14)</f>
        <v/>
      </c>
      <c r="P39" s="11">
        <f>N39-O39</f>
        <v/>
      </c>
      <c r="Q39" s="11" t="n">
        <v>0</v>
      </c>
      <c r="R39" s="11" t="n">
        <v>0</v>
      </c>
      <c r="S39" s="11">
        <f>MAX(0,MIN('Параметры'!$C$26-M39,T38))</f>
        <v/>
      </c>
      <c r="T39" s="11">
        <f>MAX(0,T38-S39)</f>
        <v/>
      </c>
      <c r="U39" s="11">
        <f>P39+J39-S39-H39</f>
        <v/>
      </c>
      <c r="V39" s="11">
        <f>V38+U39</f>
        <v/>
      </c>
    </row>
    <row r="40">
      <c r="A40" s="13" t="n">
        <v>39</v>
      </c>
      <c r="B40" s="13" t="inlineStr">
        <is>
          <t>01.10.2029</t>
        </is>
      </c>
      <c r="C40" s="14" t="inlineStr">
        <is>
          <t>Эксплуатация</t>
        </is>
      </c>
      <c r="D40" s="15">
        <f>'Параметры'!$C$4*'Параметры'!$C$7*(1+'Параметры'!$C$8)^INT((A40-'Параметры'!$C$11-1)/12)</f>
        <v/>
      </c>
      <c r="E40" s="15">
        <f>D40/(1+'Параметры'!$C$13)</f>
        <v/>
      </c>
      <c r="F40" s="15">
        <f>D40-E40</f>
        <v/>
      </c>
      <c r="G40" s="15">
        <f>IF(AND(A40&gt;'Параметры'!$C$11,A40&lt;='Параметры'!$C$11+3),'Параметры'!$C$28,0)</f>
        <v/>
      </c>
      <c r="H40" s="15">
        <f>F40-G40</f>
        <v/>
      </c>
      <c r="I40" s="15">
        <f>E40*'Параметры'!$C$16</f>
        <v/>
      </c>
      <c r="J40" s="15">
        <f>'Параметры'!$C$27</f>
        <v/>
      </c>
      <c r="K40" s="15">
        <f>MAX(0,'Параметры'!$C$20-'Параметры'!$C$27*MAX(0,A40-'Параметры'!$C$11-1))*'Параметры'!$C$15/12</f>
        <v/>
      </c>
      <c r="L40" s="15">
        <f>E40-I40-J40-K40</f>
        <v/>
      </c>
      <c r="M40" s="15">
        <f>T39*'Параметры'!$C$10/12</f>
        <v/>
      </c>
      <c r="N40" s="15">
        <f>L40-M40</f>
        <v/>
      </c>
      <c r="O40" s="15">
        <f>MAX(0,N40*'Параметры'!$C$14)</f>
        <v/>
      </c>
      <c r="P40" s="15">
        <f>N40-O40</f>
        <v/>
      </c>
      <c r="Q40" s="15" t="n">
        <v>0</v>
      </c>
      <c r="R40" s="15" t="n">
        <v>0</v>
      </c>
      <c r="S40" s="15">
        <f>MAX(0,MIN('Параметры'!$C$26-M40,T39))</f>
        <v/>
      </c>
      <c r="T40" s="15">
        <f>MAX(0,T39-S40)</f>
        <v/>
      </c>
      <c r="U40" s="15">
        <f>P40+J40-S40-H40</f>
        <v/>
      </c>
      <c r="V40" s="15">
        <f>V39+U40</f>
        <v/>
      </c>
    </row>
    <row r="41">
      <c r="A41" s="16" t="n">
        <v>40</v>
      </c>
      <c r="B41" s="16" t="inlineStr">
        <is>
          <t>01.11.2029</t>
        </is>
      </c>
      <c r="C41" s="17" t="inlineStr">
        <is>
          <t>Эксплуатация</t>
        </is>
      </c>
      <c r="D41" s="11">
        <f>'Параметры'!$C$4*'Параметры'!$C$7*(1+'Параметры'!$C$8)^INT((A41-'Параметры'!$C$11-1)/12)</f>
        <v/>
      </c>
      <c r="E41" s="11">
        <f>D41/(1+'Параметры'!$C$13)</f>
        <v/>
      </c>
      <c r="F41" s="11">
        <f>D41-E41</f>
        <v/>
      </c>
      <c r="G41" s="11">
        <f>IF(AND(A41&gt;'Параметры'!$C$11,A41&lt;='Параметры'!$C$11+3),'Параметры'!$C$28,0)</f>
        <v/>
      </c>
      <c r="H41" s="11">
        <f>F41-G41</f>
        <v/>
      </c>
      <c r="I41" s="11">
        <f>E41*'Параметры'!$C$16</f>
        <v/>
      </c>
      <c r="J41" s="11">
        <f>'Параметры'!$C$27</f>
        <v/>
      </c>
      <c r="K41" s="11">
        <f>MAX(0,'Параметры'!$C$20-'Параметры'!$C$27*MAX(0,A41-'Параметры'!$C$11-1))*'Параметры'!$C$15/12</f>
        <v/>
      </c>
      <c r="L41" s="11">
        <f>E41-I41-J41-K41</f>
        <v/>
      </c>
      <c r="M41" s="11">
        <f>T40*'Параметры'!$C$10/12</f>
        <v/>
      </c>
      <c r="N41" s="11">
        <f>L41-M41</f>
        <v/>
      </c>
      <c r="O41" s="11">
        <f>MAX(0,N41*'Параметры'!$C$14)</f>
        <v/>
      </c>
      <c r="P41" s="11">
        <f>N41-O41</f>
        <v/>
      </c>
      <c r="Q41" s="11" t="n">
        <v>0</v>
      </c>
      <c r="R41" s="11" t="n">
        <v>0</v>
      </c>
      <c r="S41" s="11">
        <f>MAX(0,MIN('Параметры'!$C$26-M41,T40))</f>
        <v/>
      </c>
      <c r="T41" s="11">
        <f>MAX(0,T40-S41)</f>
        <v/>
      </c>
      <c r="U41" s="11">
        <f>P41+J41-S41-H41</f>
        <v/>
      </c>
      <c r="V41" s="11">
        <f>V40+U41</f>
        <v/>
      </c>
    </row>
    <row r="42">
      <c r="A42" s="13" t="n">
        <v>41</v>
      </c>
      <c r="B42" s="13" t="inlineStr">
        <is>
          <t>01.12.2029</t>
        </is>
      </c>
      <c r="C42" s="14" t="inlineStr">
        <is>
          <t>Эксплуатация</t>
        </is>
      </c>
      <c r="D42" s="15">
        <f>'Параметры'!$C$4*'Параметры'!$C$7*(1+'Параметры'!$C$8)^INT((A42-'Параметры'!$C$11-1)/12)</f>
        <v/>
      </c>
      <c r="E42" s="15">
        <f>D42/(1+'Параметры'!$C$13)</f>
        <v/>
      </c>
      <c r="F42" s="15">
        <f>D42-E42</f>
        <v/>
      </c>
      <c r="G42" s="15">
        <f>IF(AND(A42&gt;'Параметры'!$C$11,A42&lt;='Параметры'!$C$11+3),'Параметры'!$C$28,0)</f>
        <v/>
      </c>
      <c r="H42" s="15">
        <f>F42-G42</f>
        <v/>
      </c>
      <c r="I42" s="15">
        <f>E42*'Параметры'!$C$16</f>
        <v/>
      </c>
      <c r="J42" s="15">
        <f>'Параметры'!$C$27</f>
        <v/>
      </c>
      <c r="K42" s="15">
        <f>MAX(0,'Параметры'!$C$20-'Параметры'!$C$27*MAX(0,A42-'Параметры'!$C$11-1))*'Параметры'!$C$15/12</f>
        <v/>
      </c>
      <c r="L42" s="15">
        <f>E42-I42-J42-K42</f>
        <v/>
      </c>
      <c r="M42" s="15">
        <f>T41*'Параметры'!$C$10/12</f>
        <v/>
      </c>
      <c r="N42" s="15">
        <f>L42-M42</f>
        <v/>
      </c>
      <c r="O42" s="15">
        <f>MAX(0,N42*'Параметры'!$C$14)</f>
        <v/>
      </c>
      <c r="P42" s="15">
        <f>N42-O42</f>
        <v/>
      </c>
      <c r="Q42" s="15" t="n">
        <v>0</v>
      </c>
      <c r="R42" s="15" t="n">
        <v>0</v>
      </c>
      <c r="S42" s="15">
        <f>MAX(0,MIN('Параметры'!$C$26-M42,T41))</f>
        <v/>
      </c>
      <c r="T42" s="15">
        <f>MAX(0,T41-S42)</f>
        <v/>
      </c>
      <c r="U42" s="15">
        <f>P42+J42-S42-H42</f>
        <v/>
      </c>
      <c r="V42" s="15">
        <f>V41+U42</f>
        <v/>
      </c>
    </row>
    <row r="43">
      <c r="A43" s="16" t="n">
        <v>42</v>
      </c>
      <c r="B43" s="16" t="inlineStr">
        <is>
          <t>01.01.2030</t>
        </is>
      </c>
      <c r="C43" s="17" t="inlineStr">
        <is>
          <t>Эксплуатация</t>
        </is>
      </c>
      <c r="D43" s="11">
        <f>'Параметры'!$C$4*'Параметры'!$C$7*(1+'Параметры'!$C$8)^INT((A43-'Параметры'!$C$11-1)/12)</f>
        <v/>
      </c>
      <c r="E43" s="11">
        <f>D43/(1+'Параметры'!$C$13)</f>
        <v/>
      </c>
      <c r="F43" s="11">
        <f>D43-E43</f>
        <v/>
      </c>
      <c r="G43" s="11">
        <f>IF(AND(A43&gt;'Параметры'!$C$11,A43&lt;='Параметры'!$C$11+3),'Параметры'!$C$28,0)</f>
        <v/>
      </c>
      <c r="H43" s="11">
        <f>F43-G43</f>
        <v/>
      </c>
      <c r="I43" s="11">
        <f>E43*'Параметры'!$C$16</f>
        <v/>
      </c>
      <c r="J43" s="11">
        <f>'Параметры'!$C$27</f>
        <v/>
      </c>
      <c r="K43" s="11">
        <f>MAX(0,'Параметры'!$C$20-'Параметры'!$C$27*MAX(0,A43-'Параметры'!$C$11-1))*'Параметры'!$C$15/12</f>
        <v/>
      </c>
      <c r="L43" s="11">
        <f>E43-I43-J43-K43</f>
        <v/>
      </c>
      <c r="M43" s="11">
        <f>T42*'Параметры'!$C$10/12</f>
        <v/>
      </c>
      <c r="N43" s="11">
        <f>L43-M43</f>
        <v/>
      </c>
      <c r="O43" s="11">
        <f>MAX(0,N43*'Параметры'!$C$14)</f>
        <v/>
      </c>
      <c r="P43" s="11">
        <f>N43-O43</f>
        <v/>
      </c>
      <c r="Q43" s="11" t="n">
        <v>0</v>
      </c>
      <c r="R43" s="11" t="n">
        <v>0</v>
      </c>
      <c r="S43" s="11">
        <f>MAX(0,MIN('Параметры'!$C$26-M43,T42))</f>
        <v/>
      </c>
      <c r="T43" s="11">
        <f>MAX(0,T42-S43)</f>
        <v/>
      </c>
      <c r="U43" s="11">
        <f>P43+J43-S43-H43</f>
        <v/>
      </c>
      <c r="V43" s="11">
        <f>V42+U43</f>
        <v/>
      </c>
    </row>
    <row r="44">
      <c r="A44" s="13" t="n">
        <v>43</v>
      </c>
      <c r="B44" s="13" t="inlineStr">
        <is>
          <t>01.02.2030</t>
        </is>
      </c>
      <c r="C44" s="14" t="inlineStr">
        <is>
          <t>Эксплуатация</t>
        </is>
      </c>
      <c r="D44" s="15">
        <f>'Параметры'!$C$4*'Параметры'!$C$7*(1+'Параметры'!$C$8)^INT((A44-'Параметры'!$C$11-1)/12)</f>
        <v/>
      </c>
      <c r="E44" s="15">
        <f>D44/(1+'Параметры'!$C$13)</f>
        <v/>
      </c>
      <c r="F44" s="15">
        <f>D44-E44</f>
        <v/>
      </c>
      <c r="G44" s="15">
        <f>IF(AND(A44&gt;'Параметры'!$C$11,A44&lt;='Параметры'!$C$11+3),'Параметры'!$C$28,0)</f>
        <v/>
      </c>
      <c r="H44" s="15">
        <f>F44-G44</f>
        <v/>
      </c>
      <c r="I44" s="15">
        <f>E44*'Параметры'!$C$16</f>
        <v/>
      </c>
      <c r="J44" s="15">
        <f>'Параметры'!$C$27</f>
        <v/>
      </c>
      <c r="K44" s="15">
        <f>MAX(0,'Параметры'!$C$20-'Параметры'!$C$27*MAX(0,A44-'Параметры'!$C$11-1))*'Параметры'!$C$15/12</f>
        <v/>
      </c>
      <c r="L44" s="15">
        <f>E44-I44-J44-K44</f>
        <v/>
      </c>
      <c r="M44" s="15">
        <f>T43*'Параметры'!$C$10/12</f>
        <v/>
      </c>
      <c r="N44" s="15">
        <f>L44-M44</f>
        <v/>
      </c>
      <c r="O44" s="15">
        <f>MAX(0,N44*'Параметры'!$C$14)</f>
        <v/>
      </c>
      <c r="P44" s="15">
        <f>N44-O44</f>
        <v/>
      </c>
      <c r="Q44" s="15" t="n">
        <v>0</v>
      </c>
      <c r="R44" s="15" t="n">
        <v>0</v>
      </c>
      <c r="S44" s="15">
        <f>MAX(0,MIN('Параметры'!$C$26-M44,T43))</f>
        <v/>
      </c>
      <c r="T44" s="15">
        <f>MAX(0,T43-S44)</f>
        <v/>
      </c>
      <c r="U44" s="15">
        <f>P44+J44-S44-H44</f>
        <v/>
      </c>
      <c r="V44" s="15">
        <f>V43+U44</f>
        <v/>
      </c>
    </row>
    <row r="45">
      <c r="A45" s="16" t="n">
        <v>44</v>
      </c>
      <c r="B45" s="16" t="inlineStr">
        <is>
          <t>01.03.2030</t>
        </is>
      </c>
      <c r="C45" s="17" t="inlineStr">
        <is>
          <t>Эксплуатация</t>
        </is>
      </c>
      <c r="D45" s="11">
        <f>'Параметры'!$C$4*'Параметры'!$C$7*(1+'Параметры'!$C$8)^INT((A45-'Параметры'!$C$11-1)/12)</f>
        <v/>
      </c>
      <c r="E45" s="11">
        <f>D45/(1+'Параметры'!$C$13)</f>
        <v/>
      </c>
      <c r="F45" s="11">
        <f>D45-E45</f>
        <v/>
      </c>
      <c r="G45" s="11">
        <f>IF(AND(A45&gt;'Параметры'!$C$11,A45&lt;='Параметры'!$C$11+3),'Параметры'!$C$28,0)</f>
        <v/>
      </c>
      <c r="H45" s="11">
        <f>F45-G45</f>
        <v/>
      </c>
      <c r="I45" s="11">
        <f>E45*'Параметры'!$C$16</f>
        <v/>
      </c>
      <c r="J45" s="11">
        <f>'Параметры'!$C$27</f>
        <v/>
      </c>
      <c r="K45" s="11">
        <f>MAX(0,'Параметры'!$C$20-'Параметры'!$C$27*MAX(0,A45-'Параметры'!$C$11-1))*'Параметры'!$C$15/12</f>
        <v/>
      </c>
      <c r="L45" s="11">
        <f>E45-I45-J45-K45</f>
        <v/>
      </c>
      <c r="M45" s="11">
        <f>T44*'Параметры'!$C$10/12</f>
        <v/>
      </c>
      <c r="N45" s="11">
        <f>L45-M45</f>
        <v/>
      </c>
      <c r="O45" s="11">
        <f>MAX(0,N45*'Параметры'!$C$14)</f>
        <v/>
      </c>
      <c r="P45" s="11">
        <f>N45-O45</f>
        <v/>
      </c>
      <c r="Q45" s="11" t="n">
        <v>0</v>
      </c>
      <c r="R45" s="11" t="n">
        <v>0</v>
      </c>
      <c r="S45" s="11">
        <f>MAX(0,MIN('Параметры'!$C$26-M45,T44))</f>
        <v/>
      </c>
      <c r="T45" s="11">
        <f>MAX(0,T44-S45)</f>
        <v/>
      </c>
      <c r="U45" s="11">
        <f>P45+J45-S45-H45</f>
        <v/>
      </c>
      <c r="V45" s="11">
        <f>V44+U45</f>
        <v/>
      </c>
    </row>
    <row r="46">
      <c r="A46" s="13" t="n">
        <v>45</v>
      </c>
      <c r="B46" s="13" t="inlineStr">
        <is>
          <t>01.04.2030</t>
        </is>
      </c>
      <c r="C46" s="14" t="inlineStr">
        <is>
          <t>Эксплуатация</t>
        </is>
      </c>
      <c r="D46" s="15">
        <f>'Параметры'!$C$4*'Параметры'!$C$7*(1+'Параметры'!$C$8)^INT((A46-'Параметры'!$C$11-1)/12)</f>
        <v/>
      </c>
      <c r="E46" s="15">
        <f>D46/(1+'Параметры'!$C$13)</f>
        <v/>
      </c>
      <c r="F46" s="15">
        <f>D46-E46</f>
        <v/>
      </c>
      <c r="G46" s="15">
        <f>IF(AND(A46&gt;'Параметры'!$C$11,A46&lt;='Параметры'!$C$11+3),'Параметры'!$C$28,0)</f>
        <v/>
      </c>
      <c r="H46" s="15">
        <f>F46-G46</f>
        <v/>
      </c>
      <c r="I46" s="15">
        <f>E46*'Параметры'!$C$16</f>
        <v/>
      </c>
      <c r="J46" s="15">
        <f>'Параметры'!$C$27</f>
        <v/>
      </c>
      <c r="K46" s="15">
        <f>MAX(0,'Параметры'!$C$20-'Параметры'!$C$27*MAX(0,A46-'Параметры'!$C$11-1))*'Параметры'!$C$15/12</f>
        <v/>
      </c>
      <c r="L46" s="15">
        <f>E46-I46-J46-K46</f>
        <v/>
      </c>
      <c r="M46" s="15">
        <f>T45*'Параметры'!$C$10/12</f>
        <v/>
      </c>
      <c r="N46" s="15">
        <f>L46-M46</f>
        <v/>
      </c>
      <c r="O46" s="15">
        <f>MAX(0,N46*'Параметры'!$C$14)</f>
        <v/>
      </c>
      <c r="P46" s="15">
        <f>N46-O46</f>
        <v/>
      </c>
      <c r="Q46" s="15" t="n">
        <v>0</v>
      </c>
      <c r="R46" s="15" t="n">
        <v>0</v>
      </c>
      <c r="S46" s="15">
        <f>MAX(0,MIN('Параметры'!$C$26-M46,T45))</f>
        <v/>
      </c>
      <c r="T46" s="15">
        <f>MAX(0,T45-S46)</f>
        <v/>
      </c>
      <c r="U46" s="15">
        <f>P46+J46-S46-H46</f>
        <v/>
      </c>
      <c r="V46" s="15">
        <f>V45+U46</f>
        <v/>
      </c>
    </row>
    <row r="47">
      <c r="A47" s="16" t="n">
        <v>46</v>
      </c>
      <c r="B47" s="16" t="inlineStr">
        <is>
          <t>01.05.2030</t>
        </is>
      </c>
      <c r="C47" s="17" t="inlineStr">
        <is>
          <t>Эксплуатация</t>
        </is>
      </c>
      <c r="D47" s="11">
        <f>'Параметры'!$C$4*'Параметры'!$C$7*(1+'Параметры'!$C$8)^INT((A47-'Параметры'!$C$11-1)/12)</f>
        <v/>
      </c>
      <c r="E47" s="11">
        <f>D47/(1+'Параметры'!$C$13)</f>
        <v/>
      </c>
      <c r="F47" s="11">
        <f>D47-E47</f>
        <v/>
      </c>
      <c r="G47" s="11">
        <f>IF(AND(A47&gt;'Параметры'!$C$11,A47&lt;='Параметры'!$C$11+3),'Параметры'!$C$28,0)</f>
        <v/>
      </c>
      <c r="H47" s="11">
        <f>F47-G47</f>
        <v/>
      </c>
      <c r="I47" s="11">
        <f>E47*'Параметры'!$C$16</f>
        <v/>
      </c>
      <c r="J47" s="11">
        <f>'Параметры'!$C$27</f>
        <v/>
      </c>
      <c r="K47" s="11">
        <f>MAX(0,'Параметры'!$C$20-'Параметры'!$C$27*MAX(0,A47-'Параметры'!$C$11-1))*'Параметры'!$C$15/12</f>
        <v/>
      </c>
      <c r="L47" s="11">
        <f>E47-I47-J47-K47</f>
        <v/>
      </c>
      <c r="M47" s="11">
        <f>T46*'Параметры'!$C$10/12</f>
        <v/>
      </c>
      <c r="N47" s="11">
        <f>L47-M47</f>
        <v/>
      </c>
      <c r="O47" s="11">
        <f>MAX(0,N47*'Параметры'!$C$14)</f>
        <v/>
      </c>
      <c r="P47" s="11">
        <f>N47-O47</f>
        <v/>
      </c>
      <c r="Q47" s="11" t="n">
        <v>0</v>
      </c>
      <c r="R47" s="11" t="n">
        <v>0</v>
      </c>
      <c r="S47" s="11">
        <f>MAX(0,MIN('Параметры'!$C$26-M47,T46))</f>
        <v/>
      </c>
      <c r="T47" s="11">
        <f>MAX(0,T46-S47)</f>
        <v/>
      </c>
      <c r="U47" s="11">
        <f>P47+J47-S47-H47</f>
        <v/>
      </c>
      <c r="V47" s="11">
        <f>V46+U47</f>
        <v/>
      </c>
    </row>
    <row r="48">
      <c r="A48" s="13" t="n">
        <v>47</v>
      </c>
      <c r="B48" s="13" t="inlineStr">
        <is>
          <t>01.06.2030</t>
        </is>
      </c>
      <c r="C48" s="14" t="inlineStr">
        <is>
          <t>Эксплуатация</t>
        </is>
      </c>
      <c r="D48" s="15">
        <f>'Параметры'!$C$4*'Параметры'!$C$7*(1+'Параметры'!$C$8)^INT((A48-'Параметры'!$C$11-1)/12)</f>
        <v/>
      </c>
      <c r="E48" s="15">
        <f>D48/(1+'Параметры'!$C$13)</f>
        <v/>
      </c>
      <c r="F48" s="15">
        <f>D48-E48</f>
        <v/>
      </c>
      <c r="G48" s="15">
        <f>IF(AND(A48&gt;'Параметры'!$C$11,A48&lt;='Параметры'!$C$11+3),'Параметры'!$C$28,0)</f>
        <v/>
      </c>
      <c r="H48" s="15">
        <f>F48-G48</f>
        <v/>
      </c>
      <c r="I48" s="15">
        <f>E48*'Параметры'!$C$16</f>
        <v/>
      </c>
      <c r="J48" s="15">
        <f>'Параметры'!$C$27</f>
        <v/>
      </c>
      <c r="K48" s="15">
        <f>MAX(0,'Параметры'!$C$20-'Параметры'!$C$27*MAX(0,A48-'Параметры'!$C$11-1))*'Параметры'!$C$15/12</f>
        <v/>
      </c>
      <c r="L48" s="15">
        <f>E48-I48-J48-K48</f>
        <v/>
      </c>
      <c r="M48" s="15">
        <f>T47*'Параметры'!$C$10/12</f>
        <v/>
      </c>
      <c r="N48" s="15">
        <f>L48-M48</f>
        <v/>
      </c>
      <c r="O48" s="15">
        <f>MAX(0,N48*'Параметры'!$C$14)</f>
        <v/>
      </c>
      <c r="P48" s="15">
        <f>N48-O48</f>
        <v/>
      </c>
      <c r="Q48" s="15" t="n">
        <v>0</v>
      </c>
      <c r="R48" s="15" t="n">
        <v>0</v>
      </c>
      <c r="S48" s="15">
        <f>MAX(0,MIN('Параметры'!$C$26-M48,T47))</f>
        <v/>
      </c>
      <c r="T48" s="15">
        <f>MAX(0,T47-S48)</f>
        <v/>
      </c>
      <c r="U48" s="15">
        <f>P48+J48-S48-H48</f>
        <v/>
      </c>
      <c r="V48" s="15">
        <f>V47+U48</f>
        <v/>
      </c>
    </row>
    <row r="49">
      <c r="A49" s="16" t="n">
        <v>48</v>
      </c>
      <c r="B49" s="16" t="inlineStr">
        <is>
          <t>01.07.2030</t>
        </is>
      </c>
      <c r="C49" s="17" t="inlineStr">
        <is>
          <t>Эксплуатация</t>
        </is>
      </c>
      <c r="D49" s="11">
        <f>'Параметры'!$C$4*'Параметры'!$C$7*(1+'Параметры'!$C$8)^INT((A49-'Параметры'!$C$11-1)/12)</f>
        <v/>
      </c>
      <c r="E49" s="11">
        <f>D49/(1+'Параметры'!$C$13)</f>
        <v/>
      </c>
      <c r="F49" s="11">
        <f>D49-E49</f>
        <v/>
      </c>
      <c r="G49" s="11">
        <f>IF(AND(A49&gt;'Параметры'!$C$11,A49&lt;='Параметры'!$C$11+3),'Параметры'!$C$28,0)</f>
        <v/>
      </c>
      <c r="H49" s="11">
        <f>F49-G49</f>
        <v/>
      </c>
      <c r="I49" s="11">
        <f>E49*'Параметры'!$C$16</f>
        <v/>
      </c>
      <c r="J49" s="11">
        <f>'Параметры'!$C$27</f>
        <v/>
      </c>
      <c r="K49" s="11">
        <f>MAX(0,'Параметры'!$C$20-'Параметры'!$C$27*MAX(0,A49-'Параметры'!$C$11-1))*'Параметры'!$C$15/12</f>
        <v/>
      </c>
      <c r="L49" s="11">
        <f>E49-I49-J49-K49</f>
        <v/>
      </c>
      <c r="M49" s="11">
        <f>T48*'Параметры'!$C$10/12</f>
        <v/>
      </c>
      <c r="N49" s="11">
        <f>L49-M49</f>
        <v/>
      </c>
      <c r="O49" s="11">
        <f>MAX(0,N49*'Параметры'!$C$14)</f>
        <v/>
      </c>
      <c r="P49" s="11">
        <f>N49-O49</f>
        <v/>
      </c>
      <c r="Q49" s="11" t="n">
        <v>0</v>
      </c>
      <c r="R49" s="11" t="n">
        <v>0</v>
      </c>
      <c r="S49" s="11">
        <f>MAX(0,MIN('Параметры'!$C$26-M49,T48))</f>
        <v/>
      </c>
      <c r="T49" s="11">
        <f>MAX(0,T48-S49)</f>
        <v/>
      </c>
      <c r="U49" s="11">
        <f>P49+J49-S49-H49</f>
        <v/>
      </c>
      <c r="V49" s="11">
        <f>V48+U49</f>
        <v/>
      </c>
    </row>
    <row r="50">
      <c r="A50" s="13" t="n">
        <v>49</v>
      </c>
      <c r="B50" s="13" t="inlineStr">
        <is>
          <t>01.08.2030</t>
        </is>
      </c>
      <c r="C50" s="14" t="inlineStr">
        <is>
          <t>Эксплуатация</t>
        </is>
      </c>
      <c r="D50" s="15">
        <f>'Параметры'!$C$4*'Параметры'!$C$7*(1+'Параметры'!$C$8)^INT((A50-'Параметры'!$C$11-1)/12)</f>
        <v/>
      </c>
      <c r="E50" s="15">
        <f>D50/(1+'Параметры'!$C$13)</f>
        <v/>
      </c>
      <c r="F50" s="15">
        <f>D50-E50</f>
        <v/>
      </c>
      <c r="G50" s="15">
        <f>IF(AND(A50&gt;'Параметры'!$C$11,A50&lt;='Параметры'!$C$11+3),'Параметры'!$C$28,0)</f>
        <v/>
      </c>
      <c r="H50" s="15">
        <f>F50-G50</f>
        <v/>
      </c>
      <c r="I50" s="15">
        <f>E50*'Параметры'!$C$16</f>
        <v/>
      </c>
      <c r="J50" s="15">
        <f>'Параметры'!$C$27</f>
        <v/>
      </c>
      <c r="K50" s="15">
        <f>MAX(0,'Параметры'!$C$20-'Параметры'!$C$27*MAX(0,A50-'Параметры'!$C$11-1))*'Параметры'!$C$15/12</f>
        <v/>
      </c>
      <c r="L50" s="15">
        <f>E50-I50-J50-K50</f>
        <v/>
      </c>
      <c r="M50" s="15">
        <f>T49*'Параметры'!$C$10/12</f>
        <v/>
      </c>
      <c r="N50" s="15">
        <f>L50-M50</f>
        <v/>
      </c>
      <c r="O50" s="15">
        <f>MAX(0,N50*'Параметры'!$C$14)</f>
        <v/>
      </c>
      <c r="P50" s="15">
        <f>N50-O50</f>
        <v/>
      </c>
      <c r="Q50" s="15" t="n">
        <v>0</v>
      </c>
      <c r="R50" s="15" t="n">
        <v>0</v>
      </c>
      <c r="S50" s="15">
        <f>MAX(0,MIN('Параметры'!$C$26-M50,T49))</f>
        <v/>
      </c>
      <c r="T50" s="15">
        <f>MAX(0,T49-S50)</f>
        <v/>
      </c>
      <c r="U50" s="15">
        <f>P50+J50-S50-H50</f>
        <v/>
      </c>
      <c r="V50" s="15">
        <f>V49+U50</f>
        <v/>
      </c>
    </row>
    <row r="51">
      <c r="A51" s="16" t="n">
        <v>50</v>
      </c>
      <c r="B51" s="16" t="inlineStr">
        <is>
          <t>01.09.2030</t>
        </is>
      </c>
      <c r="C51" s="17" t="inlineStr">
        <is>
          <t>Эксплуатация</t>
        </is>
      </c>
      <c r="D51" s="11">
        <f>'Параметры'!$C$4*'Параметры'!$C$7*(1+'Параметры'!$C$8)^INT((A51-'Параметры'!$C$11-1)/12)</f>
        <v/>
      </c>
      <c r="E51" s="11">
        <f>D51/(1+'Параметры'!$C$13)</f>
        <v/>
      </c>
      <c r="F51" s="11">
        <f>D51-E51</f>
        <v/>
      </c>
      <c r="G51" s="11">
        <f>IF(AND(A51&gt;'Параметры'!$C$11,A51&lt;='Параметры'!$C$11+3),'Параметры'!$C$28,0)</f>
        <v/>
      </c>
      <c r="H51" s="11">
        <f>F51-G51</f>
        <v/>
      </c>
      <c r="I51" s="11">
        <f>E51*'Параметры'!$C$16</f>
        <v/>
      </c>
      <c r="J51" s="11">
        <f>'Параметры'!$C$27</f>
        <v/>
      </c>
      <c r="K51" s="11">
        <f>MAX(0,'Параметры'!$C$20-'Параметры'!$C$27*MAX(0,A51-'Параметры'!$C$11-1))*'Параметры'!$C$15/12</f>
        <v/>
      </c>
      <c r="L51" s="11">
        <f>E51-I51-J51-K51</f>
        <v/>
      </c>
      <c r="M51" s="11">
        <f>T50*'Параметры'!$C$10/12</f>
        <v/>
      </c>
      <c r="N51" s="11">
        <f>L51-M51</f>
        <v/>
      </c>
      <c r="O51" s="11">
        <f>MAX(0,N51*'Параметры'!$C$14)</f>
        <v/>
      </c>
      <c r="P51" s="11">
        <f>N51-O51</f>
        <v/>
      </c>
      <c r="Q51" s="11" t="n">
        <v>0</v>
      </c>
      <c r="R51" s="11" t="n">
        <v>0</v>
      </c>
      <c r="S51" s="11">
        <f>MAX(0,MIN('Параметры'!$C$26-M51,T50))</f>
        <v/>
      </c>
      <c r="T51" s="11">
        <f>MAX(0,T50-S51)</f>
        <v/>
      </c>
      <c r="U51" s="11">
        <f>P51+J51-S51-H51</f>
        <v/>
      </c>
      <c r="V51" s="11">
        <f>V50+U51</f>
        <v/>
      </c>
    </row>
    <row r="52">
      <c r="A52" s="13" t="n">
        <v>51</v>
      </c>
      <c r="B52" s="13" t="inlineStr">
        <is>
          <t>01.10.2030</t>
        </is>
      </c>
      <c r="C52" s="14" t="inlineStr">
        <is>
          <t>Эксплуатация</t>
        </is>
      </c>
      <c r="D52" s="15">
        <f>'Параметры'!$C$4*'Параметры'!$C$7*(1+'Параметры'!$C$8)^INT((A52-'Параметры'!$C$11-1)/12)</f>
        <v/>
      </c>
      <c r="E52" s="15">
        <f>D52/(1+'Параметры'!$C$13)</f>
        <v/>
      </c>
      <c r="F52" s="15">
        <f>D52-E52</f>
        <v/>
      </c>
      <c r="G52" s="15">
        <f>IF(AND(A52&gt;'Параметры'!$C$11,A52&lt;='Параметры'!$C$11+3),'Параметры'!$C$28,0)</f>
        <v/>
      </c>
      <c r="H52" s="15">
        <f>F52-G52</f>
        <v/>
      </c>
      <c r="I52" s="15">
        <f>E52*'Параметры'!$C$16</f>
        <v/>
      </c>
      <c r="J52" s="15">
        <f>'Параметры'!$C$27</f>
        <v/>
      </c>
      <c r="K52" s="15">
        <f>MAX(0,'Параметры'!$C$20-'Параметры'!$C$27*MAX(0,A52-'Параметры'!$C$11-1))*'Параметры'!$C$15/12</f>
        <v/>
      </c>
      <c r="L52" s="15">
        <f>E52-I52-J52-K52</f>
        <v/>
      </c>
      <c r="M52" s="15">
        <f>T51*'Параметры'!$C$10/12</f>
        <v/>
      </c>
      <c r="N52" s="15">
        <f>L52-M52</f>
        <v/>
      </c>
      <c r="O52" s="15">
        <f>MAX(0,N52*'Параметры'!$C$14)</f>
        <v/>
      </c>
      <c r="P52" s="15">
        <f>N52-O52</f>
        <v/>
      </c>
      <c r="Q52" s="15" t="n">
        <v>0</v>
      </c>
      <c r="R52" s="15" t="n">
        <v>0</v>
      </c>
      <c r="S52" s="15">
        <f>MAX(0,MIN('Параметры'!$C$26-M52,T51))</f>
        <v/>
      </c>
      <c r="T52" s="15">
        <f>MAX(0,T51-S52)</f>
        <v/>
      </c>
      <c r="U52" s="15">
        <f>P52+J52-S52-H52</f>
        <v/>
      </c>
      <c r="V52" s="15">
        <f>V51+U52</f>
        <v/>
      </c>
    </row>
    <row r="53">
      <c r="A53" s="16" t="n">
        <v>52</v>
      </c>
      <c r="B53" s="16" t="inlineStr">
        <is>
          <t>01.11.2030</t>
        </is>
      </c>
      <c r="C53" s="17" t="inlineStr">
        <is>
          <t>Эксплуатация</t>
        </is>
      </c>
      <c r="D53" s="11">
        <f>'Параметры'!$C$4*'Параметры'!$C$7*(1+'Параметры'!$C$8)^INT((A53-'Параметры'!$C$11-1)/12)</f>
        <v/>
      </c>
      <c r="E53" s="11">
        <f>D53/(1+'Параметры'!$C$13)</f>
        <v/>
      </c>
      <c r="F53" s="11">
        <f>D53-E53</f>
        <v/>
      </c>
      <c r="G53" s="11">
        <f>IF(AND(A53&gt;'Параметры'!$C$11,A53&lt;='Параметры'!$C$11+3),'Параметры'!$C$28,0)</f>
        <v/>
      </c>
      <c r="H53" s="11">
        <f>F53-G53</f>
        <v/>
      </c>
      <c r="I53" s="11">
        <f>E53*'Параметры'!$C$16</f>
        <v/>
      </c>
      <c r="J53" s="11">
        <f>'Параметры'!$C$27</f>
        <v/>
      </c>
      <c r="K53" s="11">
        <f>MAX(0,'Параметры'!$C$20-'Параметры'!$C$27*MAX(0,A53-'Параметры'!$C$11-1))*'Параметры'!$C$15/12</f>
        <v/>
      </c>
      <c r="L53" s="11">
        <f>E53-I53-J53-K53</f>
        <v/>
      </c>
      <c r="M53" s="11">
        <f>T52*'Параметры'!$C$10/12</f>
        <v/>
      </c>
      <c r="N53" s="11">
        <f>L53-M53</f>
        <v/>
      </c>
      <c r="O53" s="11">
        <f>MAX(0,N53*'Параметры'!$C$14)</f>
        <v/>
      </c>
      <c r="P53" s="11">
        <f>N53-O53</f>
        <v/>
      </c>
      <c r="Q53" s="11" t="n">
        <v>0</v>
      </c>
      <c r="R53" s="11" t="n">
        <v>0</v>
      </c>
      <c r="S53" s="11">
        <f>MAX(0,MIN('Параметры'!$C$26-M53,T52))</f>
        <v/>
      </c>
      <c r="T53" s="11">
        <f>MAX(0,T52-S53)</f>
        <v/>
      </c>
      <c r="U53" s="11">
        <f>P53+J53-S53-H53</f>
        <v/>
      </c>
      <c r="V53" s="11">
        <f>V52+U53</f>
        <v/>
      </c>
    </row>
    <row r="54">
      <c r="A54" s="13" t="n">
        <v>53</v>
      </c>
      <c r="B54" s="13" t="inlineStr">
        <is>
          <t>01.12.2030</t>
        </is>
      </c>
      <c r="C54" s="14" t="inlineStr">
        <is>
          <t>Эксплуатация</t>
        </is>
      </c>
      <c r="D54" s="15">
        <f>'Параметры'!$C$4*'Параметры'!$C$7*(1+'Параметры'!$C$8)^INT((A54-'Параметры'!$C$11-1)/12)</f>
        <v/>
      </c>
      <c r="E54" s="15">
        <f>D54/(1+'Параметры'!$C$13)</f>
        <v/>
      </c>
      <c r="F54" s="15">
        <f>D54-E54</f>
        <v/>
      </c>
      <c r="G54" s="15">
        <f>IF(AND(A54&gt;'Параметры'!$C$11,A54&lt;='Параметры'!$C$11+3),'Параметры'!$C$28,0)</f>
        <v/>
      </c>
      <c r="H54" s="15">
        <f>F54-G54</f>
        <v/>
      </c>
      <c r="I54" s="15">
        <f>E54*'Параметры'!$C$16</f>
        <v/>
      </c>
      <c r="J54" s="15">
        <f>'Параметры'!$C$27</f>
        <v/>
      </c>
      <c r="K54" s="15">
        <f>MAX(0,'Параметры'!$C$20-'Параметры'!$C$27*MAX(0,A54-'Параметры'!$C$11-1))*'Параметры'!$C$15/12</f>
        <v/>
      </c>
      <c r="L54" s="15">
        <f>E54-I54-J54-K54</f>
        <v/>
      </c>
      <c r="M54" s="15">
        <f>T53*'Параметры'!$C$10/12</f>
        <v/>
      </c>
      <c r="N54" s="15">
        <f>L54-M54</f>
        <v/>
      </c>
      <c r="O54" s="15">
        <f>MAX(0,N54*'Параметры'!$C$14)</f>
        <v/>
      </c>
      <c r="P54" s="15">
        <f>N54-O54</f>
        <v/>
      </c>
      <c r="Q54" s="15" t="n">
        <v>0</v>
      </c>
      <c r="R54" s="15" t="n">
        <v>0</v>
      </c>
      <c r="S54" s="15">
        <f>MAX(0,MIN('Параметры'!$C$26-M54,T53))</f>
        <v/>
      </c>
      <c r="T54" s="15">
        <f>MAX(0,T53-S54)</f>
        <v/>
      </c>
      <c r="U54" s="15">
        <f>P54+J54-S54-H54</f>
        <v/>
      </c>
      <c r="V54" s="15">
        <f>V53+U54</f>
        <v/>
      </c>
    </row>
    <row r="55">
      <c r="A55" s="16" t="n">
        <v>54</v>
      </c>
      <c r="B55" s="16" t="inlineStr">
        <is>
          <t>01.01.2031</t>
        </is>
      </c>
      <c r="C55" s="17" t="inlineStr">
        <is>
          <t>Эксплуатация</t>
        </is>
      </c>
      <c r="D55" s="11">
        <f>'Параметры'!$C$4*'Параметры'!$C$7*(1+'Параметры'!$C$8)^INT((A55-'Параметры'!$C$11-1)/12)</f>
        <v/>
      </c>
      <c r="E55" s="11">
        <f>D55/(1+'Параметры'!$C$13)</f>
        <v/>
      </c>
      <c r="F55" s="11">
        <f>D55-E55</f>
        <v/>
      </c>
      <c r="G55" s="11">
        <f>IF(AND(A55&gt;'Параметры'!$C$11,A55&lt;='Параметры'!$C$11+3),'Параметры'!$C$28,0)</f>
        <v/>
      </c>
      <c r="H55" s="11">
        <f>F55-G55</f>
        <v/>
      </c>
      <c r="I55" s="11">
        <f>E55*'Параметры'!$C$16</f>
        <v/>
      </c>
      <c r="J55" s="11">
        <f>'Параметры'!$C$27</f>
        <v/>
      </c>
      <c r="K55" s="11">
        <f>MAX(0,'Параметры'!$C$20-'Параметры'!$C$27*MAX(0,A55-'Параметры'!$C$11-1))*'Параметры'!$C$15/12</f>
        <v/>
      </c>
      <c r="L55" s="11">
        <f>E55-I55-J55-K55</f>
        <v/>
      </c>
      <c r="M55" s="11">
        <f>T54*'Параметры'!$C$10/12</f>
        <v/>
      </c>
      <c r="N55" s="11">
        <f>L55-M55</f>
        <v/>
      </c>
      <c r="O55" s="11">
        <f>MAX(0,N55*'Параметры'!$C$14)</f>
        <v/>
      </c>
      <c r="P55" s="11">
        <f>N55-O55</f>
        <v/>
      </c>
      <c r="Q55" s="11" t="n">
        <v>0</v>
      </c>
      <c r="R55" s="11" t="n">
        <v>0</v>
      </c>
      <c r="S55" s="11">
        <f>MAX(0,MIN('Параметры'!$C$26-M55,T54))</f>
        <v/>
      </c>
      <c r="T55" s="11">
        <f>MAX(0,T54-S55)</f>
        <v/>
      </c>
      <c r="U55" s="11">
        <f>P55+J55-S55-H55</f>
        <v/>
      </c>
      <c r="V55" s="11">
        <f>V54+U55</f>
        <v/>
      </c>
    </row>
    <row r="56">
      <c r="A56" s="13" t="n">
        <v>55</v>
      </c>
      <c r="B56" s="13" t="inlineStr">
        <is>
          <t>01.02.2031</t>
        </is>
      </c>
      <c r="C56" s="14" t="inlineStr">
        <is>
          <t>Эксплуатация</t>
        </is>
      </c>
      <c r="D56" s="15">
        <f>'Параметры'!$C$4*'Параметры'!$C$7*(1+'Параметры'!$C$8)^INT((A56-'Параметры'!$C$11-1)/12)</f>
        <v/>
      </c>
      <c r="E56" s="15">
        <f>D56/(1+'Параметры'!$C$13)</f>
        <v/>
      </c>
      <c r="F56" s="15">
        <f>D56-E56</f>
        <v/>
      </c>
      <c r="G56" s="15">
        <f>IF(AND(A56&gt;'Параметры'!$C$11,A56&lt;='Параметры'!$C$11+3),'Параметры'!$C$28,0)</f>
        <v/>
      </c>
      <c r="H56" s="15">
        <f>F56-G56</f>
        <v/>
      </c>
      <c r="I56" s="15">
        <f>E56*'Параметры'!$C$16</f>
        <v/>
      </c>
      <c r="J56" s="15">
        <f>'Параметры'!$C$27</f>
        <v/>
      </c>
      <c r="K56" s="15">
        <f>MAX(0,'Параметры'!$C$20-'Параметры'!$C$27*MAX(0,A56-'Параметры'!$C$11-1))*'Параметры'!$C$15/12</f>
        <v/>
      </c>
      <c r="L56" s="15">
        <f>E56-I56-J56-K56</f>
        <v/>
      </c>
      <c r="M56" s="15">
        <f>T55*'Параметры'!$C$10/12</f>
        <v/>
      </c>
      <c r="N56" s="15">
        <f>L56-M56</f>
        <v/>
      </c>
      <c r="O56" s="15">
        <f>MAX(0,N56*'Параметры'!$C$14)</f>
        <v/>
      </c>
      <c r="P56" s="15">
        <f>N56-O56</f>
        <v/>
      </c>
      <c r="Q56" s="15" t="n">
        <v>0</v>
      </c>
      <c r="R56" s="15" t="n">
        <v>0</v>
      </c>
      <c r="S56" s="15">
        <f>MAX(0,MIN('Параметры'!$C$26-M56,T55))</f>
        <v/>
      </c>
      <c r="T56" s="15">
        <f>MAX(0,T55-S56)</f>
        <v/>
      </c>
      <c r="U56" s="15">
        <f>P56+J56-S56-H56</f>
        <v/>
      </c>
      <c r="V56" s="15">
        <f>V55+U56</f>
        <v/>
      </c>
    </row>
    <row r="57">
      <c r="A57" s="16" t="n">
        <v>56</v>
      </c>
      <c r="B57" s="16" t="inlineStr">
        <is>
          <t>01.03.2031</t>
        </is>
      </c>
      <c r="C57" s="17" t="inlineStr">
        <is>
          <t>Эксплуатация</t>
        </is>
      </c>
      <c r="D57" s="11">
        <f>'Параметры'!$C$4*'Параметры'!$C$7*(1+'Параметры'!$C$8)^INT((A57-'Параметры'!$C$11-1)/12)</f>
        <v/>
      </c>
      <c r="E57" s="11">
        <f>D57/(1+'Параметры'!$C$13)</f>
        <v/>
      </c>
      <c r="F57" s="11">
        <f>D57-E57</f>
        <v/>
      </c>
      <c r="G57" s="11">
        <f>IF(AND(A57&gt;'Параметры'!$C$11,A57&lt;='Параметры'!$C$11+3),'Параметры'!$C$28,0)</f>
        <v/>
      </c>
      <c r="H57" s="11">
        <f>F57-G57</f>
        <v/>
      </c>
      <c r="I57" s="11">
        <f>E57*'Параметры'!$C$16</f>
        <v/>
      </c>
      <c r="J57" s="11">
        <f>'Параметры'!$C$27</f>
        <v/>
      </c>
      <c r="K57" s="11">
        <f>MAX(0,'Параметры'!$C$20-'Параметры'!$C$27*MAX(0,A57-'Параметры'!$C$11-1))*'Параметры'!$C$15/12</f>
        <v/>
      </c>
      <c r="L57" s="11">
        <f>E57-I57-J57-K57</f>
        <v/>
      </c>
      <c r="M57" s="11">
        <f>T56*'Параметры'!$C$10/12</f>
        <v/>
      </c>
      <c r="N57" s="11">
        <f>L57-M57</f>
        <v/>
      </c>
      <c r="O57" s="11">
        <f>MAX(0,N57*'Параметры'!$C$14)</f>
        <v/>
      </c>
      <c r="P57" s="11">
        <f>N57-O57</f>
        <v/>
      </c>
      <c r="Q57" s="11" t="n">
        <v>0</v>
      </c>
      <c r="R57" s="11" t="n">
        <v>0</v>
      </c>
      <c r="S57" s="11">
        <f>MAX(0,MIN('Параметры'!$C$26-M57,T56))</f>
        <v/>
      </c>
      <c r="T57" s="11">
        <f>MAX(0,T56-S57)</f>
        <v/>
      </c>
      <c r="U57" s="11">
        <f>P57+J57-S57-H57</f>
        <v/>
      </c>
      <c r="V57" s="11">
        <f>V56+U57</f>
        <v/>
      </c>
    </row>
    <row r="58">
      <c r="A58" s="13" t="n">
        <v>57</v>
      </c>
      <c r="B58" s="13" t="inlineStr">
        <is>
          <t>01.04.2031</t>
        </is>
      </c>
      <c r="C58" s="14" t="inlineStr">
        <is>
          <t>Эксплуатация</t>
        </is>
      </c>
      <c r="D58" s="15">
        <f>'Параметры'!$C$4*'Параметры'!$C$7*(1+'Параметры'!$C$8)^INT((A58-'Параметры'!$C$11-1)/12)</f>
        <v/>
      </c>
      <c r="E58" s="15">
        <f>D58/(1+'Параметры'!$C$13)</f>
        <v/>
      </c>
      <c r="F58" s="15">
        <f>D58-E58</f>
        <v/>
      </c>
      <c r="G58" s="15">
        <f>IF(AND(A58&gt;'Параметры'!$C$11,A58&lt;='Параметры'!$C$11+3),'Параметры'!$C$28,0)</f>
        <v/>
      </c>
      <c r="H58" s="15">
        <f>F58-G58</f>
        <v/>
      </c>
      <c r="I58" s="15">
        <f>E58*'Параметры'!$C$16</f>
        <v/>
      </c>
      <c r="J58" s="15">
        <f>'Параметры'!$C$27</f>
        <v/>
      </c>
      <c r="K58" s="15">
        <f>MAX(0,'Параметры'!$C$20-'Параметры'!$C$27*MAX(0,A58-'Параметры'!$C$11-1))*'Параметры'!$C$15/12</f>
        <v/>
      </c>
      <c r="L58" s="15">
        <f>E58-I58-J58-K58</f>
        <v/>
      </c>
      <c r="M58" s="15">
        <f>T57*'Параметры'!$C$10/12</f>
        <v/>
      </c>
      <c r="N58" s="15">
        <f>L58-M58</f>
        <v/>
      </c>
      <c r="O58" s="15">
        <f>MAX(0,N58*'Параметры'!$C$14)</f>
        <v/>
      </c>
      <c r="P58" s="15">
        <f>N58-O58</f>
        <v/>
      </c>
      <c r="Q58" s="15" t="n">
        <v>0</v>
      </c>
      <c r="R58" s="15" t="n">
        <v>0</v>
      </c>
      <c r="S58" s="15">
        <f>MAX(0,MIN('Параметры'!$C$26-M58,T57))</f>
        <v/>
      </c>
      <c r="T58" s="15">
        <f>MAX(0,T57-S58)</f>
        <v/>
      </c>
      <c r="U58" s="15">
        <f>P58+J58-S58-H58</f>
        <v/>
      </c>
      <c r="V58" s="15">
        <f>V57+U58</f>
        <v/>
      </c>
    </row>
    <row r="59">
      <c r="A59" s="16" t="n">
        <v>58</v>
      </c>
      <c r="B59" s="16" t="inlineStr">
        <is>
          <t>01.05.2031</t>
        </is>
      </c>
      <c r="C59" s="17" t="inlineStr">
        <is>
          <t>Эксплуатация</t>
        </is>
      </c>
      <c r="D59" s="11">
        <f>'Параметры'!$C$4*'Параметры'!$C$7*(1+'Параметры'!$C$8)^INT((A59-'Параметры'!$C$11-1)/12)</f>
        <v/>
      </c>
      <c r="E59" s="11">
        <f>D59/(1+'Параметры'!$C$13)</f>
        <v/>
      </c>
      <c r="F59" s="11">
        <f>D59-E59</f>
        <v/>
      </c>
      <c r="G59" s="11">
        <f>IF(AND(A59&gt;'Параметры'!$C$11,A59&lt;='Параметры'!$C$11+3),'Параметры'!$C$28,0)</f>
        <v/>
      </c>
      <c r="H59" s="11">
        <f>F59-G59</f>
        <v/>
      </c>
      <c r="I59" s="11">
        <f>E59*'Параметры'!$C$16</f>
        <v/>
      </c>
      <c r="J59" s="11">
        <f>'Параметры'!$C$27</f>
        <v/>
      </c>
      <c r="K59" s="11">
        <f>MAX(0,'Параметры'!$C$20-'Параметры'!$C$27*MAX(0,A59-'Параметры'!$C$11-1))*'Параметры'!$C$15/12</f>
        <v/>
      </c>
      <c r="L59" s="11">
        <f>E59-I59-J59-K59</f>
        <v/>
      </c>
      <c r="M59" s="11">
        <f>T58*'Параметры'!$C$10/12</f>
        <v/>
      </c>
      <c r="N59" s="11">
        <f>L59-M59</f>
        <v/>
      </c>
      <c r="O59" s="11">
        <f>MAX(0,N59*'Параметры'!$C$14)</f>
        <v/>
      </c>
      <c r="P59" s="11">
        <f>N59-O59</f>
        <v/>
      </c>
      <c r="Q59" s="11" t="n">
        <v>0</v>
      </c>
      <c r="R59" s="11" t="n">
        <v>0</v>
      </c>
      <c r="S59" s="11">
        <f>MAX(0,MIN('Параметры'!$C$26-M59,T58))</f>
        <v/>
      </c>
      <c r="T59" s="11">
        <f>MAX(0,T58-S59)</f>
        <v/>
      </c>
      <c r="U59" s="11">
        <f>P59+J59-S59-H59</f>
        <v/>
      </c>
      <c r="V59" s="11">
        <f>V58+U59</f>
        <v/>
      </c>
    </row>
    <row r="60">
      <c r="A60" s="13" t="n">
        <v>59</v>
      </c>
      <c r="B60" s="13" t="inlineStr">
        <is>
          <t>01.06.2031</t>
        </is>
      </c>
      <c r="C60" s="14" t="inlineStr">
        <is>
          <t>Эксплуатация</t>
        </is>
      </c>
      <c r="D60" s="15">
        <f>'Параметры'!$C$4*'Параметры'!$C$7*(1+'Параметры'!$C$8)^INT((A60-'Параметры'!$C$11-1)/12)</f>
        <v/>
      </c>
      <c r="E60" s="15">
        <f>D60/(1+'Параметры'!$C$13)</f>
        <v/>
      </c>
      <c r="F60" s="15">
        <f>D60-E60</f>
        <v/>
      </c>
      <c r="G60" s="15">
        <f>IF(AND(A60&gt;'Параметры'!$C$11,A60&lt;='Параметры'!$C$11+3),'Параметры'!$C$28,0)</f>
        <v/>
      </c>
      <c r="H60" s="15">
        <f>F60-G60</f>
        <v/>
      </c>
      <c r="I60" s="15">
        <f>E60*'Параметры'!$C$16</f>
        <v/>
      </c>
      <c r="J60" s="15">
        <f>'Параметры'!$C$27</f>
        <v/>
      </c>
      <c r="K60" s="15">
        <f>MAX(0,'Параметры'!$C$20-'Параметры'!$C$27*MAX(0,A60-'Параметры'!$C$11-1))*'Параметры'!$C$15/12</f>
        <v/>
      </c>
      <c r="L60" s="15">
        <f>E60-I60-J60-K60</f>
        <v/>
      </c>
      <c r="M60" s="15">
        <f>T59*'Параметры'!$C$10/12</f>
        <v/>
      </c>
      <c r="N60" s="15">
        <f>L60-M60</f>
        <v/>
      </c>
      <c r="O60" s="15">
        <f>MAX(0,N60*'Параметры'!$C$14)</f>
        <v/>
      </c>
      <c r="P60" s="15">
        <f>N60-O60</f>
        <v/>
      </c>
      <c r="Q60" s="15" t="n">
        <v>0</v>
      </c>
      <c r="R60" s="15" t="n">
        <v>0</v>
      </c>
      <c r="S60" s="15">
        <f>MAX(0,MIN('Параметры'!$C$26-M60,T59))</f>
        <v/>
      </c>
      <c r="T60" s="15">
        <f>MAX(0,T59-S60)</f>
        <v/>
      </c>
      <c r="U60" s="15">
        <f>P60+J60-S60-H60</f>
        <v/>
      </c>
      <c r="V60" s="15">
        <f>V59+U60</f>
        <v/>
      </c>
    </row>
    <row r="61">
      <c r="A61" s="16" t="n">
        <v>60</v>
      </c>
      <c r="B61" s="16" t="inlineStr">
        <is>
          <t>01.07.2031</t>
        </is>
      </c>
      <c r="C61" s="17" t="inlineStr">
        <is>
          <t>Эксплуатация</t>
        </is>
      </c>
      <c r="D61" s="11">
        <f>'Параметры'!$C$4*'Параметры'!$C$7*(1+'Параметры'!$C$8)^INT((A61-'Параметры'!$C$11-1)/12)</f>
        <v/>
      </c>
      <c r="E61" s="11">
        <f>D61/(1+'Параметры'!$C$13)</f>
        <v/>
      </c>
      <c r="F61" s="11">
        <f>D61-E61</f>
        <v/>
      </c>
      <c r="G61" s="11">
        <f>IF(AND(A61&gt;'Параметры'!$C$11,A61&lt;='Параметры'!$C$11+3),'Параметры'!$C$28,0)</f>
        <v/>
      </c>
      <c r="H61" s="11">
        <f>F61-G61</f>
        <v/>
      </c>
      <c r="I61" s="11">
        <f>E61*'Параметры'!$C$16</f>
        <v/>
      </c>
      <c r="J61" s="11">
        <f>'Параметры'!$C$27</f>
        <v/>
      </c>
      <c r="K61" s="11">
        <f>MAX(0,'Параметры'!$C$20-'Параметры'!$C$27*MAX(0,A61-'Параметры'!$C$11-1))*'Параметры'!$C$15/12</f>
        <v/>
      </c>
      <c r="L61" s="11">
        <f>E61-I61-J61-K61</f>
        <v/>
      </c>
      <c r="M61" s="11">
        <f>T60*'Параметры'!$C$10/12</f>
        <v/>
      </c>
      <c r="N61" s="11">
        <f>L61-M61</f>
        <v/>
      </c>
      <c r="O61" s="11">
        <f>MAX(0,N61*'Параметры'!$C$14)</f>
        <v/>
      </c>
      <c r="P61" s="11">
        <f>N61-O61</f>
        <v/>
      </c>
      <c r="Q61" s="11" t="n">
        <v>0</v>
      </c>
      <c r="R61" s="11" t="n">
        <v>0</v>
      </c>
      <c r="S61" s="11">
        <f>MAX(0,MIN('Параметры'!$C$26-M61,T60))</f>
        <v/>
      </c>
      <c r="T61" s="11">
        <f>MAX(0,T60-S61)</f>
        <v/>
      </c>
      <c r="U61" s="11">
        <f>P61+J61-S61-H61</f>
        <v/>
      </c>
      <c r="V61" s="11">
        <f>V60+U61</f>
        <v/>
      </c>
    </row>
    <row r="62">
      <c r="A62" s="13" t="n">
        <v>61</v>
      </c>
      <c r="B62" s="13" t="inlineStr">
        <is>
          <t>01.08.2031</t>
        </is>
      </c>
      <c r="C62" s="14" t="inlineStr">
        <is>
          <t>Эксплуатация</t>
        </is>
      </c>
      <c r="D62" s="15">
        <f>'Параметры'!$C$4*'Параметры'!$C$7*(1+'Параметры'!$C$8)^INT((A62-'Параметры'!$C$11-1)/12)</f>
        <v/>
      </c>
      <c r="E62" s="15">
        <f>D62/(1+'Параметры'!$C$13)</f>
        <v/>
      </c>
      <c r="F62" s="15">
        <f>D62-E62</f>
        <v/>
      </c>
      <c r="G62" s="15">
        <f>IF(AND(A62&gt;'Параметры'!$C$11,A62&lt;='Параметры'!$C$11+3),'Параметры'!$C$28,0)</f>
        <v/>
      </c>
      <c r="H62" s="15">
        <f>F62-G62</f>
        <v/>
      </c>
      <c r="I62" s="15">
        <f>E62*'Параметры'!$C$16</f>
        <v/>
      </c>
      <c r="J62" s="15">
        <f>'Параметры'!$C$27</f>
        <v/>
      </c>
      <c r="K62" s="15">
        <f>MAX(0,'Параметры'!$C$20-'Параметры'!$C$27*MAX(0,A62-'Параметры'!$C$11-1))*'Параметры'!$C$15/12</f>
        <v/>
      </c>
      <c r="L62" s="15">
        <f>E62-I62-J62-K62</f>
        <v/>
      </c>
      <c r="M62" s="15">
        <f>T61*'Параметры'!$C$10/12</f>
        <v/>
      </c>
      <c r="N62" s="15">
        <f>L62-M62</f>
        <v/>
      </c>
      <c r="O62" s="15">
        <f>MAX(0,N62*'Параметры'!$C$14)</f>
        <v/>
      </c>
      <c r="P62" s="15">
        <f>N62-O62</f>
        <v/>
      </c>
      <c r="Q62" s="15" t="n">
        <v>0</v>
      </c>
      <c r="R62" s="15" t="n">
        <v>0</v>
      </c>
      <c r="S62" s="15">
        <f>MAX(0,MIN('Параметры'!$C$26-M62,T61))</f>
        <v/>
      </c>
      <c r="T62" s="15">
        <f>MAX(0,T61-S62)</f>
        <v/>
      </c>
      <c r="U62" s="15">
        <f>P62+J62-S62-H62</f>
        <v/>
      </c>
      <c r="V62" s="15">
        <f>V61+U62</f>
        <v/>
      </c>
    </row>
    <row r="63">
      <c r="A63" s="16" t="n">
        <v>62</v>
      </c>
      <c r="B63" s="16" t="inlineStr">
        <is>
          <t>01.09.2031</t>
        </is>
      </c>
      <c r="C63" s="17" t="inlineStr">
        <is>
          <t>Эксплуатация</t>
        </is>
      </c>
      <c r="D63" s="11">
        <f>'Параметры'!$C$4*'Параметры'!$C$7*(1+'Параметры'!$C$8)^INT((A63-'Параметры'!$C$11-1)/12)</f>
        <v/>
      </c>
      <c r="E63" s="11">
        <f>D63/(1+'Параметры'!$C$13)</f>
        <v/>
      </c>
      <c r="F63" s="11">
        <f>D63-E63</f>
        <v/>
      </c>
      <c r="G63" s="11">
        <f>IF(AND(A63&gt;'Параметры'!$C$11,A63&lt;='Параметры'!$C$11+3),'Параметры'!$C$28,0)</f>
        <v/>
      </c>
      <c r="H63" s="11">
        <f>F63-G63</f>
        <v/>
      </c>
      <c r="I63" s="11">
        <f>E63*'Параметры'!$C$16</f>
        <v/>
      </c>
      <c r="J63" s="11">
        <f>'Параметры'!$C$27</f>
        <v/>
      </c>
      <c r="K63" s="11">
        <f>MAX(0,'Параметры'!$C$20-'Параметры'!$C$27*MAX(0,A63-'Параметры'!$C$11-1))*'Параметры'!$C$15/12</f>
        <v/>
      </c>
      <c r="L63" s="11">
        <f>E63-I63-J63-K63</f>
        <v/>
      </c>
      <c r="M63" s="11">
        <f>T62*'Параметры'!$C$10/12</f>
        <v/>
      </c>
      <c r="N63" s="11">
        <f>L63-M63</f>
        <v/>
      </c>
      <c r="O63" s="11">
        <f>MAX(0,N63*'Параметры'!$C$14)</f>
        <v/>
      </c>
      <c r="P63" s="11">
        <f>N63-O63</f>
        <v/>
      </c>
      <c r="Q63" s="11" t="n">
        <v>0</v>
      </c>
      <c r="R63" s="11" t="n">
        <v>0</v>
      </c>
      <c r="S63" s="11">
        <f>MAX(0,MIN('Параметры'!$C$26-M63,T62))</f>
        <v/>
      </c>
      <c r="T63" s="11">
        <f>MAX(0,T62-S63)</f>
        <v/>
      </c>
      <c r="U63" s="11">
        <f>P63+J63-S63-H63</f>
        <v/>
      </c>
      <c r="V63" s="11">
        <f>V62+U63</f>
        <v/>
      </c>
    </row>
    <row r="64">
      <c r="A64" s="13" t="n">
        <v>63</v>
      </c>
      <c r="B64" s="13" t="inlineStr">
        <is>
          <t>01.10.2031</t>
        </is>
      </c>
      <c r="C64" s="14" t="inlineStr">
        <is>
          <t>Эксплуатация</t>
        </is>
      </c>
      <c r="D64" s="15">
        <f>'Параметры'!$C$4*'Параметры'!$C$7*(1+'Параметры'!$C$8)^INT((A64-'Параметры'!$C$11-1)/12)</f>
        <v/>
      </c>
      <c r="E64" s="15">
        <f>D64/(1+'Параметры'!$C$13)</f>
        <v/>
      </c>
      <c r="F64" s="15">
        <f>D64-E64</f>
        <v/>
      </c>
      <c r="G64" s="15">
        <f>IF(AND(A64&gt;'Параметры'!$C$11,A64&lt;='Параметры'!$C$11+3),'Параметры'!$C$28,0)</f>
        <v/>
      </c>
      <c r="H64" s="15">
        <f>F64-G64</f>
        <v/>
      </c>
      <c r="I64" s="15">
        <f>E64*'Параметры'!$C$16</f>
        <v/>
      </c>
      <c r="J64" s="15">
        <f>'Параметры'!$C$27</f>
        <v/>
      </c>
      <c r="K64" s="15">
        <f>MAX(0,'Параметры'!$C$20-'Параметры'!$C$27*MAX(0,A64-'Параметры'!$C$11-1))*'Параметры'!$C$15/12</f>
        <v/>
      </c>
      <c r="L64" s="15">
        <f>E64-I64-J64-K64</f>
        <v/>
      </c>
      <c r="M64" s="15">
        <f>T63*'Параметры'!$C$10/12</f>
        <v/>
      </c>
      <c r="N64" s="15">
        <f>L64-M64</f>
        <v/>
      </c>
      <c r="O64" s="15">
        <f>MAX(0,N64*'Параметры'!$C$14)</f>
        <v/>
      </c>
      <c r="P64" s="15">
        <f>N64-O64</f>
        <v/>
      </c>
      <c r="Q64" s="15" t="n">
        <v>0</v>
      </c>
      <c r="R64" s="15" t="n">
        <v>0</v>
      </c>
      <c r="S64" s="15">
        <f>MAX(0,MIN('Параметры'!$C$26-M64,T63))</f>
        <v/>
      </c>
      <c r="T64" s="15">
        <f>MAX(0,T63-S64)</f>
        <v/>
      </c>
      <c r="U64" s="15">
        <f>P64+J64-S64-H64</f>
        <v/>
      </c>
      <c r="V64" s="15">
        <f>V63+U64</f>
        <v/>
      </c>
    </row>
    <row r="65">
      <c r="A65" s="16" t="n">
        <v>64</v>
      </c>
      <c r="B65" s="16" t="inlineStr">
        <is>
          <t>01.11.2031</t>
        </is>
      </c>
      <c r="C65" s="17" t="inlineStr">
        <is>
          <t>Эксплуатация</t>
        </is>
      </c>
      <c r="D65" s="11">
        <f>'Параметры'!$C$4*'Параметры'!$C$7*(1+'Параметры'!$C$8)^INT((A65-'Параметры'!$C$11-1)/12)</f>
        <v/>
      </c>
      <c r="E65" s="11">
        <f>D65/(1+'Параметры'!$C$13)</f>
        <v/>
      </c>
      <c r="F65" s="11">
        <f>D65-E65</f>
        <v/>
      </c>
      <c r="G65" s="11">
        <f>IF(AND(A65&gt;'Параметры'!$C$11,A65&lt;='Параметры'!$C$11+3),'Параметры'!$C$28,0)</f>
        <v/>
      </c>
      <c r="H65" s="11">
        <f>F65-G65</f>
        <v/>
      </c>
      <c r="I65" s="11">
        <f>E65*'Параметры'!$C$16</f>
        <v/>
      </c>
      <c r="J65" s="11">
        <f>'Параметры'!$C$27</f>
        <v/>
      </c>
      <c r="K65" s="11">
        <f>MAX(0,'Параметры'!$C$20-'Параметры'!$C$27*MAX(0,A65-'Параметры'!$C$11-1))*'Параметры'!$C$15/12</f>
        <v/>
      </c>
      <c r="L65" s="11">
        <f>E65-I65-J65-K65</f>
        <v/>
      </c>
      <c r="M65" s="11">
        <f>T64*'Параметры'!$C$10/12</f>
        <v/>
      </c>
      <c r="N65" s="11">
        <f>L65-M65</f>
        <v/>
      </c>
      <c r="O65" s="11">
        <f>MAX(0,N65*'Параметры'!$C$14)</f>
        <v/>
      </c>
      <c r="P65" s="11">
        <f>N65-O65</f>
        <v/>
      </c>
      <c r="Q65" s="11" t="n">
        <v>0</v>
      </c>
      <c r="R65" s="11" t="n">
        <v>0</v>
      </c>
      <c r="S65" s="11">
        <f>MAX(0,MIN('Параметры'!$C$26-M65,T64))</f>
        <v/>
      </c>
      <c r="T65" s="11">
        <f>MAX(0,T64-S65)</f>
        <v/>
      </c>
      <c r="U65" s="11">
        <f>P65+J65-S65-H65</f>
        <v/>
      </c>
      <c r="V65" s="11">
        <f>V64+U65</f>
        <v/>
      </c>
    </row>
    <row r="66">
      <c r="A66" s="13" t="n">
        <v>65</v>
      </c>
      <c r="B66" s="13" t="inlineStr">
        <is>
          <t>01.12.2031</t>
        </is>
      </c>
      <c r="C66" s="14" t="inlineStr">
        <is>
          <t>Эксплуатация</t>
        </is>
      </c>
      <c r="D66" s="15">
        <f>'Параметры'!$C$4*'Параметры'!$C$7*(1+'Параметры'!$C$8)^INT((A66-'Параметры'!$C$11-1)/12)</f>
        <v/>
      </c>
      <c r="E66" s="15">
        <f>D66/(1+'Параметры'!$C$13)</f>
        <v/>
      </c>
      <c r="F66" s="15">
        <f>D66-E66</f>
        <v/>
      </c>
      <c r="G66" s="15">
        <f>IF(AND(A66&gt;'Параметры'!$C$11,A66&lt;='Параметры'!$C$11+3),'Параметры'!$C$28,0)</f>
        <v/>
      </c>
      <c r="H66" s="15">
        <f>F66-G66</f>
        <v/>
      </c>
      <c r="I66" s="15">
        <f>E66*'Параметры'!$C$16</f>
        <v/>
      </c>
      <c r="J66" s="15">
        <f>'Параметры'!$C$27</f>
        <v/>
      </c>
      <c r="K66" s="15">
        <f>MAX(0,'Параметры'!$C$20-'Параметры'!$C$27*MAX(0,A66-'Параметры'!$C$11-1))*'Параметры'!$C$15/12</f>
        <v/>
      </c>
      <c r="L66" s="15">
        <f>E66-I66-J66-K66</f>
        <v/>
      </c>
      <c r="M66" s="15">
        <f>T65*'Параметры'!$C$10/12</f>
        <v/>
      </c>
      <c r="N66" s="15">
        <f>L66-M66</f>
        <v/>
      </c>
      <c r="O66" s="15">
        <f>MAX(0,N66*'Параметры'!$C$14)</f>
        <v/>
      </c>
      <c r="P66" s="15">
        <f>N66-O66</f>
        <v/>
      </c>
      <c r="Q66" s="15" t="n">
        <v>0</v>
      </c>
      <c r="R66" s="15" t="n">
        <v>0</v>
      </c>
      <c r="S66" s="15">
        <f>MAX(0,MIN('Параметры'!$C$26-M66,T65))</f>
        <v/>
      </c>
      <c r="T66" s="15">
        <f>MAX(0,T65-S66)</f>
        <v/>
      </c>
      <c r="U66" s="15">
        <f>P66+J66-S66-H66</f>
        <v/>
      </c>
      <c r="V66" s="15">
        <f>V65+U66</f>
        <v/>
      </c>
    </row>
    <row r="67">
      <c r="A67" s="16" t="n">
        <v>66</v>
      </c>
      <c r="B67" s="16" t="inlineStr">
        <is>
          <t>01.01.2032</t>
        </is>
      </c>
      <c r="C67" s="17" t="inlineStr">
        <is>
          <t>Эксплуатация</t>
        </is>
      </c>
      <c r="D67" s="11">
        <f>'Параметры'!$C$4*'Параметры'!$C$7*(1+'Параметры'!$C$8)^INT((A67-'Параметры'!$C$11-1)/12)</f>
        <v/>
      </c>
      <c r="E67" s="11">
        <f>D67/(1+'Параметры'!$C$13)</f>
        <v/>
      </c>
      <c r="F67" s="11">
        <f>D67-E67</f>
        <v/>
      </c>
      <c r="G67" s="11">
        <f>IF(AND(A67&gt;'Параметры'!$C$11,A67&lt;='Параметры'!$C$11+3),'Параметры'!$C$28,0)</f>
        <v/>
      </c>
      <c r="H67" s="11">
        <f>F67-G67</f>
        <v/>
      </c>
      <c r="I67" s="11">
        <f>E67*'Параметры'!$C$16</f>
        <v/>
      </c>
      <c r="J67" s="11">
        <f>'Параметры'!$C$27</f>
        <v/>
      </c>
      <c r="K67" s="11">
        <f>MAX(0,'Параметры'!$C$20-'Параметры'!$C$27*MAX(0,A67-'Параметры'!$C$11-1))*'Параметры'!$C$15/12</f>
        <v/>
      </c>
      <c r="L67" s="11">
        <f>E67-I67-J67-K67</f>
        <v/>
      </c>
      <c r="M67" s="11">
        <f>T66*'Параметры'!$C$10/12</f>
        <v/>
      </c>
      <c r="N67" s="11">
        <f>L67-M67</f>
        <v/>
      </c>
      <c r="O67" s="11">
        <f>MAX(0,N67*'Параметры'!$C$14)</f>
        <v/>
      </c>
      <c r="P67" s="11">
        <f>N67-O67</f>
        <v/>
      </c>
      <c r="Q67" s="11" t="n">
        <v>0</v>
      </c>
      <c r="R67" s="11" t="n">
        <v>0</v>
      </c>
      <c r="S67" s="11">
        <f>MAX(0,MIN('Параметры'!$C$26-M67,T66))</f>
        <v/>
      </c>
      <c r="T67" s="11">
        <f>MAX(0,T66-S67)</f>
        <v/>
      </c>
      <c r="U67" s="11">
        <f>P67+J67-S67-H67</f>
        <v/>
      </c>
      <c r="V67" s="11">
        <f>V66+U67</f>
        <v/>
      </c>
    </row>
    <row r="68">
      <c r="A68" s="13" t="n">
        <v>67</v>
      </c>
      <c r="B68" s="13" t="inlineStr">
        <is>
          <t>01.02.2032</t>
        </is>
      </c>
      <c r="C68" s="14" t="inlineStr">
        <is>
          <t>Эксплуатация</t>
        </is>
      </c>
      <c r="D68" s="15">
        <f>'Параметры'!$C$4*'Параметры'!$C$7*(1+'Параметры'!$C$8)^INT((A68-'Параметры'!$C$11-1)/12)</f>
        <v/>
      </c>
      <c r="E68" s="15">
        <f>D68/(1+'Параметры'!$C$13)</f>
        <v/>
      </c>
      <c r="F68" s="15">
        <f>D68-E68</f>
        <v/>
      </c>
      <c r="G68" s="15">
        <f>IF(AND(A68&gt;'Параметры'!$C$11,A68&lt;='Параметры'!$C$11+3),'Параметры'!$C$28,0)</f>
        <v/>
      </c>
      <c r="H68" s="15">
        <f>F68-G68</f>
        <v/>
      </c>
      <c r="I68" s="15">
        <f>E68*'Параметры'!$C$16</f>
        <v/>
      </c>
      <c r="J68" s="15">
        <f>'Параметры'!$C$27</f>
        <v/>
      </c>
      <c r="K68" s="15">
        <f>MAX(0,'Параметры'!$C$20-'Параметры'!$C$27*MAX(0,A68-'Параметры'!$C$11-1))*'Параметры'!$C$15/12</f>
        <v/>
      </c>
      <c r="L68" s="15">
        <f>E68-I68-J68-K68</f>
        <v/>
      </c>
      <c r="M68" s="15">
        <f>T67*'Параметры'!$C$10/12</f>
        <v/>
      </c>
      <c r="N68" s="15">
        <f>L68-M68</f>
        <v/>
      </c>
      <c r="O68" s="15">
        <f>MAX(0,N68*'Параметры'!$C$14)</f>
        <v/>
      </c>
      <c r="P68" s="15">
        <f>N68-O68</f>
        <v/>
      </c>
      <c r="Q68" s="15" t="n">
        <v>0</v>
      </c>
      <c r="R68" s="15" t="n">
        <v>0</v>
      </c>
      <c r="S68" s="15">
        <f>MAX(0,MIN('Параметры'!$C$26-M68,T67))</f>
        <v/>
      </c>
      <c r="T68" s="15">
        <f>MAX(0,T67-S68)</f>
        <v/>
      </c>
      <c r="U68" s="15">
        <f>P68+J68-S68-H68</f>
        <v/>
      </c>
      <c r="V68" s="15">
        <f>V67+U68</f>
        <v/>
      </c>
    </row>
    <row r="69">
      <c r="A69" s="16" t="n">
        <v>68</v>
      </c>
      <c r="B69" s="16" t="inlineStr">
        <is>
          <t>01.03.2032</t>
        </is>
      </c>
      <c r="C69" s="17" t="inlineStr">
        <is>
          <t>Эксплуатация</t>
        </is>
      </c>
      <c r="D69" s="11">
        <f>'Параметры'!$C$4*'Параметры'!$C$7*(1+'Параметры'!$C$8)^INT((A69-'Параметры'!$C$11-1)/12)</f>
        <v/>
      </c>
      <c r="E69" s="11">
        <f>D69/(1+'Параметры'!$C$13)</f>
        <v/>
      </c>
      <c r="F69" s="11">
        <f>D69-E69</f>
        <v/>
      </c>
      <c r="G69" s="11">
        <f>IF(AND(A69&gt;'Параметры'!$C$11,A69&lt;='Параметры'!$C$11+3),'Параметры'!$C$28,0)</f>
        <v/>
      </c>
      <c r="H69" s="11">
        <f>F69-G69</f>
        <v/>
      </c>
      <c r="I69" s="11">
        <f>E69*'Параметры'!$C$16</f>
        <v/>
      </c>
      <c r="J69" s="11">
        <f>'Параметры'!$C$27</f>
        <v/>
      </c>
      <c r="K69" s="11">
        <f>MAX(0,'Параметры'!$C$20-'Параметры'!$C$27*MAX(0,A69-'Параметры'!$C$11-1))*'Параметры'!$C$15/12</f>
        <v/>
      </c>
      <c r="L69" s="11">
        <f>E69-I69-J69-K69</f>
        <v/>
      </c>
      <c r="M69" s="11">
        <f>T68*'Параметры'!$C$10/12</f>
        <v/>
      </c>
      <c r="N69" s="11">
        <f>L69-M69</f>
        <v/>
      </c>
      <c r="O69" s="11">
        <f>MAX(0,N69*'Параметры'!$C$14)</f>
        <v/>
      </c>
      <c r="P69" s="11">
        <f>N69-O69</f>
        <v/>
      </c>
      <c r="Q69" s="11" t="n">
        <v>0</v>
      </c>
      <c r="R69" s="11" t="n">
        <v>0</v>
      </c>
      <c r="S69" s="11">
        <f>MAX(0,MIN('Параметры'!$C$26-M69,T68))</f>
        <v/>
      </c>
      <c r="T69" s="11">
        <f>MAX(0,T68-S69)</f>
        <v/>
      </c>
      <c r="U69" s="11">
        <f>P69+J69-S69-H69</f>
        <v/>
      </c>
      <c r="V69" s="11">
        <f>V68+U69</f>
        <v/>
      </c>
    </row>
    <row r="70">
      <c r="A70" s="13" t="n">
        <v>69</v>
      </c>
      <c r="B70" s="13" t="inlineStr">
        <is>
          <t>01.04.2032</t>
        </is>
      </c>
      <c r="C70" s="14" t="inlineStr">
        <is>
          <t>Эксплуатация</t>
        </is>
      </c>
      <c r="D70" s="15">
        <f>'Параметры'!$C$4*'Параметры'!$C$7*(1+'Параметры'!$C$8)^INT((A70-'Параметры'!$C$11-1)/12)</f>
        <v/>
      </c>
      <c r="E70" s="15">
        <f>D70/(1+'Параметры'!$C$13)</f>
        <v/>
      </c>
      <c r="F70" s="15">
        <f>D70-E70</f>
        <v/>
      </c>
      <c r="G70" s="15">
        <f>IF(AND(A70&gt;'Параметры'!$C$11,A70&lt;='Параметры'!$C$11+3),'Параметры'!$C$28,0)</f>
        <v/>
      </c>
      <c r="H70" s="15">
        <f>F70-G70</f>
        <v/>
      </c>
      <c r="I70" s="15">
        <f>E70*'Параметры'!$C$16</f>
        <v/>
      </c>
      <c r="J70" s="15">
        <f>'Параметры'!$C$27</f>
        <v/>
      </c>
      <c r="K70" s="15">
        <f>MAX(0,'Параметры'!$C$20-'Параметры'!$C$27*MAX(0,A70-'Параметры'!$C$11-1))*'Параметры'!$C$15/12</f>
        <v/>
      </c>
      <c r="L70" s="15">
        <f>E70-I70-J70-K70</f>
        <v/>
      </c>
      <c r="M70" s="15">
        <f>T69*'Параметры'!$C$10/12</f>
        <v/>
      </c>
      <c r="N70" s="15">
        <f>L70-M70</f>
        <v/>
      </c>
      <c r="O70" s="15">
        <f>MAX(0,N70*'Параметры'!$C$14)</f>
        <v/>
      </c>
      <c r="P70" s="15">
        <f>N70-O70</f>
        <v/>
      </c>
      <c r="Q70" s="15" t="n">
        <v>0</v>
      </c>
      <c r="R70" s="15" t="n">
        <v>0</v>
      </c>
      <c r="S70" s="15">
        <f>MAX(0,MIN('Параметры'!$C$26-M70,T69))</f>
        <v/>
      </c>
      <c r="T70" s="15">
        <f>MAX(0,T69-S70)</f>
        <v/>
      </c>
      <c r="U70" s="15">
        <f>P70+J70-S70-H70</f>
        <v/>
      </c>
      <c r="V70" s="15">
        <f>V69+U70</f>
        <v/>
      </c>
    </row>
    <row r="71">
      <c r="A71" s="16" t="n">
        <v>70</v>
      </c>
      <c r="B71" s="16" t="inlineStr">
        <is>
          <t>01.05.2032</t>
        </is>
      </c>
      <c r="C71" s="17" t="inlineStr">
        <is>
          <t>Эксплуатация</t>
        </is>
      </c>
      <c r="D71" s="11">
        <f>'Параметры'!$C$4*'Параметры'!$C$7*(1+'Параметры'!$C$8)^INT((A71-'Параметры'!$C$11-1)/12)</f>
        <v/>
      </c>
      <c r="E71" s="11">
        <f>D71/(1+'Параметры'!$C$13)</f>
        <v/>
      </c>
      <c r="F71" s="11">
        <f>D71-E71</f>
        <v/>
      </c>
      <c r="G71" s="11">
        <f>IF(AND(A71&gt;'Параметры'!$C$11,A71&lt;='Параметры'!$C$11+3),'Параметры'!$C$28,0)</f>
        <v/>
      </c>
      <c r="H71" s="11">
        <f>F71-G71</f>
        <v/>
      </c>
      <c r="I71" s="11">
        <f>E71*'Параметры'!$C$16</f>
        <v/>
      </c>
      <c r="J71" s="11">
        <f>'Параметры'!$C$27</f>
        <v/>
      </c>
      <c r="K71" s="11">
        <f>MAX(0,'Параметры'!$C$20-'Параметры'!$C$27*MAX(0,A71-'Параметры'!$C$11-1))*'Параметры'!$C$15/12</f>
        <v/>
      </c>
      <c r="L71" s="11">
        <f>E71-I71-J71-K71</f>
        <v/>
      </c>
      <c r="M71" s="11">
        <f>T70*'Параметры'!$C$10/12</f>
        <v/>
      </c>
      <c r="N71" s="11">
        <f>L71-M71</f>
        <v/>
      </c>
      <c r="O71" s="11">
        <f>MAX(0,N71*'Параметры'!$C$14)</f>
        <v/>
      </c>
      <c r="P71" s="11">
        <f>N71-O71</f>
        <v/>
      </c>
      <c r="Q71" s="11" t="n">
        <v>0</v>
      </c>
      <c r="R71" s="11" t="n">
        <v>0</v>
      </c>
      <c r="S71" s="11">
        <f>MAX(0,MIN('Параметры'!$C$26-M71,T70))</f>
        <v/>
      </c>
      <c r="T71" s="11">
        <f>MAX(0,T70-S71)</f>
        <v/>
      </c>
      <c r="U71" s="11">
        <f>P71+J71-S71-H71</f>
        <v/>
      </c>
      <c r="V71" s="11">
        <f>V70+U71</f>
        <v/>
      </c>
    </row>
    <row r="72">
      <c r="A72" s="13" t="n">
        <v>71</v>
      </c>
      <c r="B72" s="13" t="inlineStr">
        <is>
          <t>01.06.2032</t>
        </is>
      </c>
      <c r="C72" s="14" t="inlineStr">
        <is>
          <t>Эксплуатация</t>
        </is>
      </c>
      <c r="D72" s="15">
        <f>'Параметры'!$C$4*'Параметры'!$C$7*(1+'Параметры'!$C$8)^INT((A72-'Параметры'!$C$11-1)/12)</f>
        <v/>
      </c>
      <c r="E72" s="15">
        <f>D72/(1+'Параметры'!$C$13)</f>
        <v/>
      </c>
      <c r="F72" s="15">
        <f>D72-E72</f>
        <v/>
      </c>
      <c r="G72" s="15">
        <f>IF(AND(A72&gt;'Параметры'!$C$11,A72&lt;='Параметры'!$C$11+3),'Параметры'!$C$28,0)</f>
        <v/>
      </c>
      <c r="H72" s="15">
        <f>F72-G72</f>
        <v/>
      </c>
      <c r="I72" s="15">
        <f>E72*'Параметры'!$C$16</f>
        <v/>
      </c>
      <c r="J72" s="15">
        <f>'Параметры'!$C$27</f>
        <v/>
      </c>
      <c r="K72" s="15">
        <f>MAX(0,'Параметры'!$C$20-'Параметры'!$C$27*MAX(0,A72-'Параметры'!$C$11-1))*'Параметры'!$C$15/12</f>
        <v/>
      </c>
      <c r="L72" s="15">
        <f>E72-I72-J72-K72</f>
        <v/>
      </c>
      <c r="M72" s="15">
        <f>T71*'Параметры'!$C$10/12</f>
        <v/>
      </c>
      <c r="N72" s="15">
        <f>L72-M72</f>
        <v/>
      </c>
      <c r="O72" s="15">
        <f>MAX(0,N72*'Параметры'!$C$14)</f>
        <v/>
      </c>
      <c r="P72" s="15">
        <f>N72-O72</f>
        <v/>
      </c>
      <c r="Q72" s="15" t="n">
        <v>0</v>
      </c>
      <c r="R72" s="15" t="n">
        <v>0</v>
      </c>
      <c r="S72" s="15">
        <f>MAX(0,MIN('Параметры'!$C$26-M72,T71))</f>
        <v/>
      </c>
      <c r="T72" s="15">
        <f>MAX(0,T71-S72)</f>
        <v/>
      </c>
      <c r="U72" s="15">
        <f>P72+J72-S72-H72</f>
        <v/>
      </c>
      <c r="V72" s="15">
        <f>V71+U72</f>
        <v/>
      </c>
    </row>
    <row r="73">
      <c r="A73" s="16" t="n">
        <v>72</v>
      </c>
      <c r="B73" s="16" t="inlineStr">
        <is>
          <t>01.07.2032</t>
        </is>
      </c>
      <c r="C73" s="17" t="inlineStr">
        <is>
          <t>Эксплуатация</t>
        </is>
      </c>
      <c r="D73" s="11">
        <f>'Параметры'!$C$4*'Параметры'!$C$7*(1+'Параметры'!$C$8)^INT((A73-'Параметры'!$C$11-1)/12)</f>
        <v/>
      </c>
      <c r="E73" s="11">
        <f>D73/(1+'Параметры'!$C$13)</f>
        <v/>
      </c>
      <c r="F73" s="11">
        <f>D73-E73</f>
        <v/>
      </c>
      <c r="G73" s="11">
        <f>IF(AND(A73&gt;'Параметры'!$C$11,A73&lt;='Параметры'!$C$11+3),'Параметры'!$C$28,0)</f>
        <v/>
      </c>
      <c r="H73" s="11">
        <f>F73-G73</f>
        <v/>
      </c>
      <c r="I73" s="11">
        <f>E73*'Параметры'!$C$16</f>
        <v/>
      </c>
      <c r="J73" s="11">
        <f>'Параметры'!$C$27</f>
        <v/>
      </c>
      <c r="K73" s="11">
        <f>MAX(0,'Параметры'!$C$20-'Параметры'!$C$27*MAX(0,A73-'Параметры'!$C$11-1))*'Параметры'!$C$15/12</f>
        <v/>
      </c>
      <c r="L73" s="11">
        <f>E73-I73-J73-K73</f>
        <v/>
      </c>
      <c r="M73" s="11">
        <f>T72*'Параметры'!$C$10/12</f>
        <v/>
      </c>
      <c r="N73" s="11">
        <f>L73-M73</f>
        <v/>
      </c>
      <c r="O73" s="11">
        <f>MAX(0,N73*'Параметры'!$C$14)</f>
        <v/>
      </c>
      <c r="P73" s="11">
        <f>N73-O73</f>
        <v/>
      </c>
      <c r="Q73" s="11" t="n">
        <v>0</v>
      </c>
      <c r="R73" s="11" t="n">
        <v>0</v>
      </c>
      <c r="S73" s="11">
        <f>MAX(0,MIN('Параметры'!$C$26-M73,T72))</f>
        <v/>
      </c>
      <c r="T73" s="11">
        <f>MAX(0,T72-S73)</f>
        <v/>
      </c>
      <c r="U73" s="11">
        <f>P73+J73-S73-H73</f>
        <v/>
      </c>
      <c r="V73" s="11">
        <f>V72+U73</f>
        <v/>
      </c>
    </row>
    <row r="74">
      <c r="A74" s="13" t="n">
        <v>73</v>
      </c>
      <c r="B74" s="13" t="inlineStr">
        <is>
          <t>01.08.2032</t>
        </is>
      </c>
      <c r="C74" s="14" t="inlineStr">
        <is>
          <t>Эксплуатация</t>
        </is>
      </c>
      <c r="D74" s="15">
        <f>'Параметры'!$C$4*'Параметры'!$C$7*(1+'Параметры'!$C$8)^INT((A74-'Параметры'!$C$11-1)/12)</f>
        <v/>
      </c>
      <c r="E74" s="15">
        <f>D74/(1+'Параметры'!$C$13)</f>
        <v/>
      </c>
      <c r="F74" s="15">
        <f>D74-E74</f>
        <v/>
      </c>
      <c r="G74" s="15">
        <f>IF(AND(A74&gt;'Параметры'!$C$11,A74&lt;='Параметры'!$C$11+3),'Параметры'!$C$28,0)</f>
        <v/>
      </c>
      <c r="H74" s="15">
        <f>F74-G74</f>
        <v/>
      </c>
      <c r="I74" s="15">
        <f>E74*'Параметры'!$C$16</f>
        <v/>
      </c>
      <c r="J74" s="15">
        <f>'Параметры'!$C$27</f>
        <v/>
      </c>
      <c r="K74" s="15">
        <f>MAX(0,'Параметры'!$C$20-'Параметры'!$C$27*MAX(0,A74-'Параметры'!$C$11-1))*'Параметры'!$C$15/12</f>
        <v/>
      </c>
      <c r="L74" s="15">
        <f>E74-I74-J74-K74</f>
        <v/>
      </c>
      <c r="M74" s="15">
        <f>T73*'Параметры'!$C$10/12</f>
        <v/>
      </c>
      <c r="N74" s="15">
        <f>L74-M74</f>
        <v/>
      </c>
      <c r="O74" s="15">
        <f>MAX(0,N74*'Параметры'!$C$14)</f>
        <v/>
      </c>
      <c r="P74" s="15">
        <f>N74-O74</f>
        <v/>
      </c>
      <c r="Q74" s="15" t="n">
        <v>0</v>
      </c>
      <c r="R74" s="15" t="n">
        <v>0</v>
      </c>
      <c r="S74" s="15">
        <f>MAX(0,MIN('Параметры'!$C$26-M74,T73))</f>
        <v/>
      </c>
      <c r="T74" s="15">
        <f>MAX(0,T73-S74)</f>
        <v/>
      </c>
      <c r="U74" s="15">
        <f>P74+J74-S74-H74</f>
        <v/>
      </c>
      <c r="V74" s="15">
        <f>V73+U74</f>
        <v/>
      </c>
    </row>
    <row r="75">
      <c r="A75" s="16" t="n">
        <v>74</v>
      </c>
      <c r="B75" s="16" t="inlineStr">
        <is>
          <t>01.09.2032</t>
        </is>
      </c>
      <c r="C75" s="17" t="inlineStr">
        <is>
          <t>Эксплуатация</t>
        </is>
      </c>
      <c r="D75" s="11">
        <f>'Параметры'!$C$4*'Параметры'!$C$7*(1+'Параметры'!$C$8)^INT((A75-'Параметры'!$C$11-1)/12)</f>
        <v/>
      </c>
      <c r="E75" s="11">
        <f>D75/(1+'Параметры'!$C$13)</f>
        <v/>
      </c>
      <c r="F75" s="11">
        <f>D75-E75</f>
        <v/>
      </c>
      <c r="G75" s="11">
        <f>IF(AND(A75&gt;'Параметры'!$C$11,A75&lt;='Параметры'!$C$11+3),'Параметры'!$C$28,0)</f>
        <v/>
      </c>
      <c r="H75" s="11">
        <f>F75-G75</f>
        <v/>
      </c>
      <c r="I75" s="11">
        <f>E75*'Параметры'!$C$16</f>
        <v/>
      </c>
      <c r="J75" s="11">
        <f>'Параметры'!$C$27</f>
        <v/>
      </c>
      <c r="K75" s="11">
        <f>MAX(0,'Параметры'!$C$20-'Параметры'!$C$27*MAX(0,A75-'Параметры'!$C$11-1))*'Параметры'!$C$15/12</f>
        <v/>
      </c>
      <c r="L75" s="11">
        <f>E75-I75-J75-K75</f>
        <v/>
      </c>
      <c r="M75" s="11">
        <f>T74*'Параметры'!$C$10/12</f>
        <v/>
      </c>
      <c r="N75" s="11">
        <f>L75-M75</f>
        <v/>
      </c>
      <c r="O75" s="11">
        <f>MAX(0,N75*'Параметры'!$C$14)</f>
        <v/>
      </c>
      <c r="P75" s="11">
        <f>N75-O75</f>
        <v/>
      </c>
      <c r="Q75" s="11" t="n">
        <v>0</v>
      </c>
      <c r="R75" s="11" t="n">
        <v>0</v>
      </c>
      <c r="S75" s="11">
        <f>MAX(0,MIN('Параметры'!$C$26-M75,T74))</f>
        <v/>
      </c>
      <c r="T75" s="11">
        <f>MAX(0,T74-S75)</f>
        <v/>
      </c>
      <c r="U75" s="11">
        <f>P75+J75-S75-H75</f>
        <v/>
      </c>
      <c r="V75" s="11">
        <f>V74+U75</f>
        <v/>
      </c>
    </row>
    <row r="76">
      <c r="A76" s="13" t="n">
        <v>75</v>
      </c>
      <c r="B76" s="13" t="inlineStr">
        <is>
          <t>01.10.2032</t>
        </is>
      </c>
      <c r="C76" s="14" t="inlineStr">
        <is>
          <t>Эксплуатация</t>
        </is>
      </c>
      <c r="D76" s="15">
        <f>'Параметры'!$C$4*'Параметры'!$C$7*(1+'Параметры'!$C$8)^INT((A76-'Параметры'!$C$11-1)/12)</f>
        <v/>
      </c>
      <c r="E76" s="15">
        <f>D76/(1+'Параметры'!$C$13)</f>
        <v/>
      </c>
      <c r="F76" s="15">
        <f>D76-E76</f>
        <v/>
      </c>
      <c r="G76" s="15">
        <f>IF(AND(A76&gt;'Параметры'!$C$11,A76&lt;='Параметры'!$C$11+3),'Параметры'!$C$28,0)</f>
        <v/>
      </c>
      <c r="H76" s="15">
        <f>F76-G76</f>
        <v/>
      </c>
      <c r="I76" s="15">
        <f>E76*'Параметры'!$C$16</f>
        <v/>
      </c>
      <c r="J76" s="15">
        <f>'Параметры'!$C$27</f>
        <v/>
      </c>
      <c r="K76" s="15">
        <f>MAX(0,'Параметры'!$C$20-'Параметры'!$C$27*MAX(0,A76-'Параметры'!$C$11-1))*'Параметры'!$C$15/12</f>
        <v/>
      </c>
      <c r="L76" s="15">
        <f>E76-I76-J76-K76</f>
        <v/>
      </c>
      <c r="M76" s="15">
        <f>T75*'Параметры'!$C$10/12</f>
        <v/>
      </c>
      <c r="N76" s="15">
        <f>L76-M76</f>
        <v/>
      </c>
      <c r="O76" s="15">
        <f>MAX(0,N76*'Параметры'!$C$14)</f>
        <v/>
      </c>
      <c r="P76" s="15">
        <f>N76-O76</f>
        <v/>
      </c>
      <c r="Q76" s="15" t="n">
        <v>0</v>
      </c>
      <c r="R76" s="15" t="n">
        <v>0</v>
      </c>
      <c r="S76" s="15">
        <f>MAX(0,MIN('Параметры'!$C$26-M76,T75))</f>
        <v/>
      </c>
      <c r="T76" s="15">
        <f>MAX(0,T75-S76)</f>
        <v/>
      </c>
      <c r="U76" s="15">
        <f>P76+J76-S76-H76</f>
        <v/>
      </c>
      <c r="V76" s="15">
        <f>V75+U76</f>
        <v/>
      </c>
    </row>
    <row r="77">
      <c r="A77" s="16" t="n">
        <v>76</v>
      </c>
      <c r="B77" s="16" t="inlineStr">
        <is>
          <t>01.11.2032</t>
        </is>
      </c>
      <c r="C77" s="17" t="inlineStr">
        <is>
          <t>Эксплуатация</t>
        </is>
      </c>
      <c r="D77" s="11">
        <f>'Параметры'!$C$4*'Параметры'!$C$7*(1+'Параметры'!$C$8)^INT((A77-'Параметры'!$C$11-1)/12)</f>
        <v/>
      </c>
      <c r="E77" s="11">
        <f>D77/(1+'Параметры'!$C$13)</f>
        <v/>
      </c>
      <c r="F77" s="11">
        <f>D77-E77</f>
        <v/>
      </c>
      <c r="G77" s="11">
        <f>IF(AND(A77&gt;'Параметры'!$C$11,A77&lt;='Параметры'!$C$11+3),'Параметры'!$C$28,0)</f>
        <v/>
      </c>
      <c r="H77" s="11">
        <f>F77-G77</f>
        <v/>
      </c>
      <c r="I77" s="11">
        <f>E77*'Параметры'!$C$16</f>
        <v/>
      </c>
      <c r="J77" s="11">
        <f>'Параметры'!$C$27</f>
        <v/>
      </c>
      <c r="K77" s="11">
        <f>MAX(0,'Параметры'!$C$20-'Параметры'!$C$27*MAX(0,A77-'Параметры'!$C$11-1))*'Параметры'!$C$15/12</f>
        <v/>
      </c>
      <c r="L77" s="11">
        <f>E77-I77-J77-K77</f>
        <v/>
      </c>
      <c r="M77" s="11">
        <f>T76*'Параметры'!$C$10/12</f>
        <v/>
      </c>
      <c r="N77" s="11">
        <f>L77-M77</f>
        <v/>
      </c>
      <c r="O77" s="11">
        <f>MAX(0,N77*'Параметры'!$C$14)</f>
        <v/>
      </c>
      <c r="P77" s="11">
        <f>N77-O77</f>
        <v/>
      </c>
      <c r="Q77" s="11" t="n">
        <v>0</v>
      </c>
      <c r="R77" s="11" t="n">
        <v>0</v>
      </c>
      <c r="S77" s="11">
        <f>MAX(0,MIN('Параметры'!$C$26-M77,T76))</f>
        <v/>
      </c>
      <c r="T77" s="11">
        <f>MAX(0,T76-S77)</f>
        <v/>
      </c>
      <c r="U77" s="11">
        <f>P77+J77-S77-H77</f>
        <v/>
      </c>
      <c r="V77" s="11">
        <f>V76+U77</f>
        <v/>
      </c>
    </row>
    <row r="78">
      <c r="A78" s="13" t="n">
        <v>77</v>
      </c>
      <c r="B78" s="13" t="inlineStr">
        <is>
          <t>01.12.2032</t>
        </is>
      </c>
      <c r="C78" s="14" t="inlineStr">
        <is>
          <t>Эксплуатация</t>
        </is>
      </c>
      <c r="D78" s="15">
        <f>'Параметры'!$C$4*'Параметры'!$C$7*(1+'Параметры'!$C$8)^INT((A78-'Параметры'!$C$11-1)/12)</f>
        <v/>
      </c>
      <c r="E78" s="15">
        <f>D78/(1+'Параметры'!$C$13)</f>
        <v/>
      </c>
      <c r="F78" s="15">
        <f>D78-E78</f>
        <v/>
      </c>
      <c r="G78" s="15">
        <f>IF(AND(A78&gt;'Параметры'!$C$11,A78&lt;='Параметры'!$C$11+3),'Параметры'!$C$28,0)</f>
        <v/>
      </c>
      <c r="H78" s="15">
        <f>F78-G78</f>
        <v/>
      </c>
      <c r="I78" s="15">
        <f>E78*'Параметры'!$C$16</f>
        <v/>
      </c>
      <c r="J78" s="15">
        <f>'Параметры'!$C$27</f>
        <v/>
      </c>
      <c r="K78" s="15">
        <f>MAX(0,'Параметры'!$C$20-'Параметры'!$C$27*MAX(0,A78-'Параметры'!$C$11-1))*'Параметры'!$C$15/12</f>
        <v/>
      </c>
      <c r="L78" s="15">
        <f>E78-I78-J78-K78</f>
        <v/>
      </c>
      <c r="M78" s="15">
        <f>T77*'Параметры'!$C$10/12</f>
        <v/>
      </c>
      <c r="N78" s="15">
        <f>L78-M78</f>
        <v/>
      </c>
      <c r="O78" s="15">
        <f>MAX(0,N78*'Параметры'!$C$14)</f>
        <v/>
      </c>
      <c r="P78" s="15">
        <f>N78-O78</f>
        <v/>
      </c>
      <c r="Q78" s="15" t="n">
        <v>0</v>
      </c>
      <c r="R78" s="15" t="n">
        <v>0</v>
      </c>
      <c r="S78" s="15">
        <f>MAX(0,MIN('Параметры'!$C$26-M78,T77))</f>
        <v/>
      </c>
      <c r="T78" s="15">
        <f>MAX(0,T77-S78)</f>
        <v/>
      </c>
      <c r="U78" s="15">
        <f>P78+J78-S78-H78</f>
        <v/>
      </c>
      <c r="V78" s="15">
        <f>V77+U78</f>
        <v/>
      </c>
    </row>
    <row r="79">
      <c r="A79" s="16" t="n">
        <v>78</v>
      </c>
      <c r="B79" s="16" t="inlineStr">
        <is>
          <t>01.01.2033</t>
        </is>
      </c>
      <c r="C79" s="17" t="inlineStr">
        <is>
          <t>Эксплуатация</t>
        </is>
      </c>
      <c r="D79" s="11">
        <f>'Параметры'!$C$4*'Параметры'!$C$7*(1+'Параметры'!$C$8)^INT((A79-'Параметры'!$C$11-1)/12)</f>
        <v/>
      </c>
      <c r="E79" s="11">
        <f>D79/(1+'Параметры'!$C$13)</f>
        <v/>
      </c>
      <c r="F79" s="11">
        <f>D79-E79</f>
        <v/>
      </c>
      <c r="G79" s="11">
        <f>IF(AND(A79&gt;'Параметры'!$C$11,A79&lt;='Параметры'!$C$11+3),'Параметры'!$C$28,0)</f>
        <v/>
      </c>
      <c r="H79" s="11">
        <f>F79-G79</f>
        <v/>
      </c>
      <c r="I79" s="11">
        <f>E79*'Параметры'!$C$16</f>
        <v/>
      </c>
      <c r="J79" s="11">
        <f>'Параметры'!$C$27</f>
        <v/>
      </c>
      <c r="K79" s="11">
        <f>MAX(0,'Параметры'!$C$20-'Параметры'!$C$27*MAX(0,A79-'Параметры'!$C$11-1))*'Параметры'!$C$15/12</f>
        <v/>
      </c>
      <c r="L79" s="11">
        <f>E79-I79-J79-K79</f>
        <v/>
      </c>
      <c r="M79" s="11">
        <f>T78*'Параметры'!$C$10/12</f>
        <v/>
      </c>
      <c r="N79" s="11">
        <f>L79-M79</f>
        <v/>
      </c>
      <c r="O79" s="11">
        <f>MAX(0,N79*'Параметры'!$C$14)</f>
        <v/>
      </c>
      <c r="P79" s="11">
        <f>N79-O79</f>
        <v/>
      </c>
      <c r="Q79" s="11" t="n">
        <v>0</v>
      </c>
      <c r="R79" s="11" t="n">
        <v>0</v>
      </c>
      <c r="S79" s="11">
        <f>MAX(0,MIN('Параметры'!$C$26-M79,T78))</f>
        <v/>
      </c>
      <c r="T79" s="11">
        <f>MAX(0,T78-S79)</f>
        <v/>
      </c>
      <c r="U79" s="11">
        <f>P79+J79-S79-H79</f>
        <v/>
      </c>
      <c r="V79" s="11">
        <f>V78+U79</f>
        <v/>
      </c>
    </row>
    <row r="80">
      <c r="A80" s="13" t="n">
        <v>79</v>
      </c>
      <c r="B80" s="13" t="inlineStr">
        <is>
          <t>01.02.2033</t>
        </is>
      </c>
      <c r="C80" s="14" t="inlineStr">
        <is>
          <t>Эксплуатация</t>
        </is>
      </c>
      <c r="D80" s="15">
        <f>'Параметры'!$C$4*'Параметры'!$C$7*(1+'Параметры'!$C$8)^INT((A80-'Параметры'!$C$11-1)/12)</f>
        <v/>
      </c>
      <c r="E80" s="15">
        <f>D80/(1+'Параметры'!$C$13)</f>
        <v/>
      </c>
      <c r="F80" s="15">
        <f>D80-E80</f>
        <v/>
      </c>
      <c r="G80" s="15">
        <f>IF(AND(A80&gt;'Параметры'!$C$11,A80&lt;='Параметры'!$C$11+3),'Параметры'!$C$28,0)</f>
        <v/>
      </c>
      <c r="H80" s="15">
        <f>F80-G80</f>
        <v/>
      </c>
      <c r="I80" s="15">
        <f>E80*'Параметры'!$C$16</f>
        <v/>
      </c>
      <c r="J80" s="15">
        <f>'Параметры'!$C$27</f>
        <v/>
      </c>
      <c r="K80" s="15">
        <f>MAX(0,'Параметры'!$C$20-'Параметры'!$C$27*MAX(0,A80-'Параметры'!$C$11-1))*'Параметры'!$C$15/12</f>
        <v/>
      </c>
      <c r="L80" s="15">
        <f>E80-I80-J80-K80</f>
        <v/>
      </c>
      <c r="M80" s="15">
        <f>T79*'Параметры'!$C$10/12</f>
        <v/>
      </c>
      <c r="N80" s="15">
        <f>L80-M80</f>
        <v/>
      </c>
      <c r="O80" s="15">
        <f>MAX(0,N80*'Параметры'!$C$14)</f>
        <v/>
      </c>
      <c r="P80" s="15">
        <f>N80-O80</f>
        <v/>
      </c>
      <c r="Q80" s="15" t="n">
        <v>0</v>
      </c>
      <c r="R80" s="15" t="n">
        <v>0</v>
      </c>
      <c r="S80" s="15">
        <f>MAX(0,MIN('Параметры'!$C$26-M80,T79))</f>
        <v/>
      </c>
      <c r="T80" s="15">
        <f>MAX(0,T79-S80)</f>
        <v/>
      </c>
      <c r="U80" s="15">
        <f>P80+J80-S80-H80</f>
        <v/>
      </c>
      <c r="V80" s="15">
        <f>V79+U80</f>
        <v/>
      </c>
    </row>
    <row r="81">
      <c r="A81" s="16" t="n">
        <v>80</v>
      </c>
      <c r="B81" s="16" t="inlineStr">
        <is>
          <t>01.03.2033</t>
        </is>
      </c>
      <c r="C81" s="17" t="inlineStr">
        <is>
          <t>Эксплуатация</t>
        </is>
      </c>
      <c r="D81" s="11">
        <f>'Параметры'!$C$4*'Параметры'!$C$7*(1+'Параметры'!$C$8)^INT((A81-'Параметры'!$C$11-1)/12)</f>
        <v/>
      </c>
      <c r="E81" s="11">
        <f>D81/(1+'Параметры'!$C$13)</f>
        <v/>
      </c>
      <c r="F81" s="11">
        <f>D81-E81</f>
        <v/>
      </c>
      <c r="G81" s="11">
        <f>IF(AND(A81&gt;'Параметры'!$C$11,A81&lt;='Параметры'!$C$11+3),'Параметры'!$C$28,0)</f>
        <v/>
      </c>
      <c r="H81" s="11">
        <f>F81-G81</f>
        <v/>
      </c>
      <c r="I81" s="11">
        <f>E81*'Параметры'!$C$16</f>
        <v/>
      </c>
      <c r="J81" s="11">
        <f>'Параметры'!$C$27</f>
        <v/>
      </c>
      <c r="K81" s="11">
        <f>MAX(0,'Параметры'!$C$20-'Параметры'!$C$27*MAX(0,A81-'Параметры'!$C$11-1))*'Параметры'!$C$15/12</f>
        <v/>
      </c>
      <c r="L81" s="11">
        <f>E81-I81-J81-K81</f>
        <v/>
      </c>
      <c r="M81" s="11">
        <f>T80*'Параметры'!$C$10/12</f>
        <v/>
      </c>
      <c r="N81" s="11">
        <f>L81-M81</f>
        <v/>
      </c>
      <c r="O81" s="11">
        <f>MAX(0,N81*'Параметры'!$C$14)</f>
        <v/>
      </c>
      <c r="P81" s="11">
        <f>N81-O81</f>
        <v/>
      </c>
      <c r="Q81" s="11" t="n">
        <v>0</v>
      </c>
      <c r="R81" s="11" t="n">
        <v>0</v>
      </c>
      <c r="S81" s="11">
        <f>MAX(0,MIN('Параметры'!$C$26-M81,T80))</f>
        <v/>
      </c>
      <c r="T81" s="11">
        <f>MAX(0,T80-S81)</f>
        <v/>
      </c>
      <c r="U81" s="11">
        <f>P81+J81-S81-H81</f>
        <v/>
      </c>
      <c r="V81" s="11">
        <f>V80+U81</f>
        <v/>
      </c>
    </row>
    <row r="82">
      <c r="A82" s="13" t="n">
        <v>81</v>
      </c>
      <c r="B82" s="13" t="inlineStr">
        <is>
          <t>01.04.2033</t>
        </is>
      </c>
      <c r="C82" s="14" t="inlineStr">
        <is>
          <t>Эксплуатация</t>
        </is>
      </c>
      <c r="D82" s="15">
        <f>'Параметры'!$C$4*'Параметры'!$C$7*(1+'Параметры'!$C$8)^INT((A82-'Параметры'!$C$11-1)/12)</f>
        <v/>
      </c>
      <c r="E82" s="15">
        <f>D82/(1+'Параметры'!$C$13)</f>
        <v/>
      </c>
      <c r="F82" s="15">
        <f>D82-E82</f>
        <v/>
      </c>
      <c r="G82" s="15">
        <f>IF(AND(A82&gt;'Параметры'!$C$11,A82&lt;='Параметры'!$C$11+3),'Параметры'!$C$28,0)</f>
        <v/>
      </c>
      <c r="H82" s="15">
        <f>F82-G82</f>
        <v/>
      </c>
      <c r="I82" s="15">
        <f>E82*'Параметры'!$C$16</f>
        <v/>
      </c>
      <c r="J82" s="15">
        <f>'Параметры'!$C$27</f>
        <v/>
      </c>
      <c r="K82" s="15">
        <f>MAX(0,'Параметры'!$C$20-'Параметры'!$C$27*MAX(0,A82-'Параметры'!$C$11-1))*'Параметры'!$C$15/12</f>
        <v/>
      </c>
      <c r="L82" s="15">
        <f>E82-I82-J82-K82</f>
        <v/>
      </c>
      <c r="M82" s="15">
        <f>T81*'Параметры'!$C$10/12</f>
        <v/>
      </c>
      <c r="N82" s="15">
        <f>L82-M82</f>
        <v/>
      </c>
      <c r="O82" s="15">
        <f>MAX(0,N82*'Параметры'!$C$14)</f>
        <v/>
      </c>
      <c r="P82" s="15">
        <f>N82-O82</f>
        <v/>
      </c>
      <c r="Q82" s="15" t="n">
        <v>0</v>
      </c>
      <c r="R82" s="15" t="n">
        <v>0</v>
      </c>
      <c r="S82" s="15">
        <f>MAX(0,MIN('Параметры'!$C$26-M82,T81))</f>
        <v/>
      </c>
      <c r="T82" s="15">
        <f>MAX(0,T81-S82)</f>
        <v/>
      </c>
      <c r="U82" s="15">
        <f>P82+J82-S82-H82</f>
        <v/>
      </c>
      <c r="V82" s="15">
        <f>V81+U82</f>
        <v/>
      </c>
    </row>
    <row r="83">
      <c r="A83" s="16" t="n">
        <v>82</v>
      </c>
      <c r="B83" s="16" t="inlineStr">
        <is>
          <t>01.05.2033</t>
        </is>
      </c>
      <c r="C83" s="17" t="inlineStr">
        <is>
          <t>Эксплуатация</t>
        </is>
      </c>
      <c r="D83" s="11">
        <f>'Параметры'!$C$4*'Параметры'!$C$7*(1+'Параметры'!$C$8)^INT((A83-'Параметры'!$C$11-1)/12)</f>
        <v/>
      </c>
      <c r="E83" s="11">
        <f>D83/(1+'Параметры'!$C$13)</f>
        <v/>
      </c>
      <c r="F83" s="11">
        <f>D83-E83</f>
        <v/>
      </c>
      <c r="G83" s="11">
        <f>IF(AND(A83&gt;'Параметры'!$C$11,A83&lt;='Параметры'!$C$11+3),'Параметры'!$C$28,0)</f>
        <v/>
      </c>
      <c r="H83" s="11">
        <f>F83-G83</f>
        <v/>
      </c>
      <c r="I83" s="11">
        <f>E83*'Параметры'!$C$16</f>
        <v/>
      </c>
      <c r="J83" s="11">
        <f>'Параметры'!$C$27</f>
        <v/>
      </c>
      <c r="K83" s="11">
        <f>MAX(0,'Параметры'!$C$20-'Параметры'!$C$27*MAX(0,A83-'Параметры'!$C$11-1))*'Параметры'!$C$15/12</f>
        <v/>
      </c>
      <c r="L83" s="11">
        <f>E83-I83-J83-K83</f>
        <v/>
      </c>
      <c r="M83" s="11">
        <f>T82*'Параметры'!$C$10/12</f>
        <v/>
      </c>
      <c r="N83" s="11">
        <f>L83-M83</f>
        <v/>
      </c>
      <c r="O83" s="11">
        <f>MAX(0,N83*'Параметры'!$C$14)</f>
        <v/>
      </c>
      <c r="P83" s="11">
        <f>N83-O83</f>
        <v/>
      </c>
      <c r="Q83" s="11" t="n">
        <v>0</v>
      </c>
      <c r="R83" s="11" t="n">
        <v>0</v>
      </c>
      <c r="S83" s="11">
        <f>MAX(0,MIN('Параметры'!$C$26-M83,T82))</f>
        <v/>
      </c>
      <c r="T83" s="11">
        <f>MAX(0,T82-S83)</f>
        <v/>
      </c>
      <c r="U83" s="11">
        <f>P83+J83-S83-H83</f>
        <v/>
      </c>
      <c r="V83" s="11">
        <f>V82+U83</f>
        <v/>
      </c>
    </row>
    <row r="84">
      <c r="A84" s="13" t="n">
        <v>83</v>
      </c>
      <c r="B84" s="13" t="inlineStr">
        <is>
          <t>01.06.2033</t>
        </is>
      </c>
      <c r="C84" s="14" t="inlineStr">
        <is>
          <t>Эксплуатация</t>
        </is>
      </c>
      <c r="D84" s="15">
        <f>'Параметры'!$C$4*'Параметры'!$C$7*(1+'Параметры'!$C$8)^INT((A84-'Параметры'!$C$11-1)/12)</f>
        <v/>
      </c>
      <c r="E84" s="15">
        <f>D84/(1+'Параметры'!$C$13)</f>
        <v/>
      </c>
      <c r="F84" s="15">
        <f>D84-E84</f>
        <v/>
      </c>
      <c r="G84" s="15">
        <f>IF(AND(A84&gt;'Параметры'!$C$11,A84&lt;='Параметры'!$C$11+3),'Параметры'!$C$28,0)</f>
        <v/>
      </c>
      <c r="H84" s="15">
        <f>F84-G84</f>
        <v/>
      </c>
      <c r="I84" s="15">
        <f>E84*'Параметры'!$C$16</f>
        <v/>
      </c>
      <c r="J84" s="15">
        <f>'Параметры'!$C$27</f>
        <v/>
      </c>
      <c r="K84" s="15">
        <f>MAX(0,'Параметры'!$C$20-'Параметры'!$C$27*MAX(0,A84-'Параметры'!$C$11-1))*'Параметры'!$C$15/12</f>
        <v/>
      </c>
      <c r="L84" s="15">
        <f>E84-I84-J84-K84</f>
        <v/>
      </c>
      <c r="M84" s="15">
        <f>T83*'Параметры'!$C$10/12</f>
        <v/>
      </c>
      <c r="N84" s="15">
        <f>L84-M84</f>
        <v/>
      </c>
      <c r="O84" s="15">
        <f>MAX(0,N84*'Параметры'!$C$14)</f>
        <v/>
      </c>
      <c r="P84" s="15">
        <f>N84-O84</f>
        <v/>
      </c>
      <c r="Q84" s="15" t="n">
        <v>0</v>
      </c>
      <c r="R84" s="15" t="n">
        <v>0</v>
      </c>
      <c r="S84" s="15">
        <f>MAX(0,MIN('Параметры'!$C$26-M84,T83))</f>
        <v/>
      </c>
      <c r="T84" s="15">
        <f>MAX(0,T83-S84)</f>
        <v/>
      </c>
      <c r="U84" s="15">
        <f>P84+J84-S84-H84</f>
        <v/>
      </c>
      <c r="V84" s="15">
        <f>V83+U84</f>
        <v/>
      </c>
    </row>
    <row r="85">
      <c r="A85" s="16" t="n">
        <v>84</v>
      </c>
      <c r="B85" s="16" t="inlineStr">
        <is>
          <t>01.07.2033</t>
        </is>
      </c>
      <c r="C85" s="17" t="inlineStr">
        <is>
          <t>Эксплуатация</t>
        </is>
      </c>
      <c r="D85" s="11">
        <f>'Параметры'!$C$4*'Параметры'!$C$7*(1+'Параметры'!$C$8)^INT((A85-'Параметры'!$C$11-1)/12)</f>
        <v/>
      </c>
      <c r="E85" s="11">
        <f>D85/(1+'Параметры'!$C$13)</f>
        <v/>
      </c>
      <c r="F85" s="11">
        <f>D85-E85</f>
        <v/>
      </c>
      <c r="G85" s="11">
        <f>IF(AND(A85&gt;'Параметры'!$C$11,A85&lt;='Параметры'!$C$11+3),'Параметры'!$C$28,0)</f>
        <v/>
      </c>
      <c r="H85" s="11">
        <f>F85-G85</f>
        <v/>
      </c>
      <c r="I85" s="11">
        <f>E85*'Параметры'!$C$16</f>
        <v/>
      </c>
      <c r="J85" s="11">
        <f>'Параметры'!$C$27</f>
        <v/>
      </c>
      <c r="K85" s="11">
        <f>MAX(0,'Параметры'!$C$20-'Параметры'!$C$27*MAX(0,A85-'Параметры'!$C$11-1))*'Параметры'!$C$15/12</f>
        <v/>
      </c>
      <c r="L85" s="11">
        <f>E85-I85-J85-K85</f>
        <v/>
      </c>
      <c r="M85" s="11">
        <f>T84*'Параметры'!$C$10/12</f>
        <v/>
      </c>
      <c r="N85" s="11">
        <f>L85-M85</f>
        <v/>
      </c>
      <c r="O85" s="11">
        <f>MAX(0,N85*'Параметры'!$C$14)</f>
        <v/>
      </c>
      <c r="P85" s="11">
        <f>N85-O85</f>
        <v/>
      </c>
      <c r="Q85" s="11" t="n">
        <v>0</v>
      </c>
      <c r="R85" s="11" t="n">
        <v>0</v>
      </c>
      <c r="S85" s="11">
        <f>MAX(0,MIN('Параметры'!$C$26-M85,T84))</f>
        <v/>
      </c>
      <c r="T85" s="11">
        <f>MAX(0,T84-S85)</f>
        <v/>
      </c>
      <c r="U85" s="11">
        <f>P85+J85-S85-H85</f>
        <v/>
      </c>
      <c r="V85" s="11">
        <f>V84+U85</f>
        <v/>
      </c>
    </row>
    <row r="86">
      <c r="A86" s="13" t="n">
        <v>85</v>
      </c>
      <c r="B86" s="13" t="inlineStr">
        <is>
          <t>01.08.2033</t>
        </is>
      </c>
      <c r="C86" s="14" t="inlineStr">
        <is>
          <t>Эксплуатация</t>
        </is>
      </c>
      <c r="D86" s="15">
        <f>'Параметры'!$C$4*'Параметры'!$C$7*(1+'Параметры'!$C$8)^INT((A86-'Параметры'!$C$11-1)/12)</f>
        <v/>
      </c>
      <c r="E86" s="15">
        <f>D86/(1+'Параметры'!$C$13)</f>
        <v/>
      </c>
      <c r="F86" s="15">
        <f>D86-E86</f>
        <v/>
      </c>
      <c r="G86" s="15">
        <f>IF(AND(A86&gt;'Параметры'!$C$11,A86&lt;='Параметры'!$C$11+3),'Параметры'!$C$28,0)</f>
        <v/>
      </c>
      <c r="H86" s="15">
        <f>F86-G86</f>
        <v/>
      </c>
      <c r="I86" s="15">
        <f>E86*'Параметры'!$C$16</f>
        <v/>
      </c>
      <c r="J86" s="15">
        <f>'Параметры'!$C$27</f>
        <v/>
      </c>
      <c r="K86" s="15">
        <f>MAX(0,'Параметры'!$C$20-'Параметры'!$C$27*MAX(0,A86-'Параметры'!$C$11-1))*'Параметры'!$C$15/12</f>
        <v/>
      </c>
      <c r="L86" s="15">
        <f>E86-I86-J86-K86</f>
        <v/>
      </c>
      <c r="M86" s="15">
        <f>T85*'Параметры'!$C$10/12</f>
        <v/>
      </c>
      <c r="N86" s="15">
        <f>L86-M86</f>
        <v/>
      </c>
      <c r="O86" s="15">
        <f>MAX(0,N86*'Параметры'!$C$14)</f>
        <v/>
      </c>
      <c r="P86" s="15">
        <f>N86-O86</f>
        <v/>
      </c>
      <c r="Q86" s="15" t="n">
        <v>0</v>
      </c>
      <c r="R86" s="15" t="n">
        <v>0</v>
      </c>
      <c r="S86" s="15">
        <f>MAX(0,MIN('Параметры'!$C$26-M86,T85))</f>
        <v/>
      </c>
      <c r="T86" s="15">
        <f>MAX(0,T85-S86)</f>
        <v/>
      </c>
      <c r="U86" s="15">
        <f>P86+J86-S86-H86</f>
        <v/>
      </c>
      <c r="V86" s="15">
        <f>V85+U86</f>
        <v/>
      </c>
    </row>
    <row r="87">
      <c r="A87" s="16" t="n">
        <v>86</v>
      </c>
      <c r="B87" s="16" t="inlineStr">
        <is>
          <t>01.09.2033</t>
        </is>
      </c>
      <c r="C87" s="17" t="inlineStr">
        <is>
          <t>Эксплуатация</t>
        </is>
      </c>
      <c r="D87" s="11">
        <f>'Параметры'!$C$4*'Параметры'!$C$7*(1+'Параметры'!$C$8)^INT((A87-'Параметры'!$C$11-1)/12)</f>
        <v/>
      </c>
      <c r="E87" s="11">
        <f>D87/(1+'Параметры'!$C$13)</f>
        <v/>
      </c>
      <c r="F87" s="11">
        <f>D87-E87</f>
        <v/>
      </c>
      <c r="G87" s="11">
        <f>IF(AND(A87&gt;'Параметры'!$C$11,A87&lt;='Параметры'!$C$11+3),'Параметры'!$C$28,0)</f>
        <v/>
      </c>
      <c r="H87" s="11">
        <f>F87-G87</f>
        <v/>
      </c>
      <c r="I87" s="11">
        <f>E87*'Параметры'!$C$16</f>
        <v/>
      </c>
      <c r="J87" s="11">
        <f>'Параметры'!$C$27</f>
        <v/>
      </c>
      <c r="K87" s="11">
        <f>MAX(0,'Параметры'!$C$20-'Параметры'!$C$27*MAX(0,A87-'Параметры'!$C$11-1))*'Параметры'!$C$15/12</f>
        <v/>
      </c>
      <c r="L87" s="11">
        <f>E87-I87-J87-K87</f>
        <v/>
      </c>
      <c r="M87" s="11">
        <f>T86*'Параметры'!$C$10/12</f>
        <v/>
      </c>
      <c r="N87" s="11">
        <f>L87-M87</f>
        <v/>
      </c>
      <c r="O87" s="11">
        <f>MAX(0,N87*'Параметры'!$C$14)</f>
        <v/>
      </c>
      <c r="P87" s="11">
        <f>N87-O87</f>
        <v/>
      </c>
      <c r="Q87" s="11" t="n">
        <v>0</v>
      </c>
      <c r="R87" s="11" t="n">
        <v>0</v>
      </c>
      <c r="S87" s="11">
        <f>MAX(0,MIN('Параметры'!$C$26-M87,T86))</f>
        <v/>
      </c>
      <c r="T87" s="11">
        <f>MAX(0,T86-S87)</f>
        <v/>
      </c>
      <c r="U87" s="11">
        <f>P87+J87-S87-H87</f>
        <v/>
      </c>
      <c r="V87" s="11">
        <f>V86+U87</f>
        <v/>
      </c>
    </row>
    <row r="88">
      <c r="A88" s="13" t="n">
        <v>87</v>
      </c>
      <c r="B88" s="13" t="inlineStr">
        <is>
          <t>01.10.2033</t>
        </is>
      </c>
      <c r="C88" s="14" t="inlineStr">
        <is>
          <t>Эксплуатация</t>
        </is>
      </c>
      <c r="D88" s="15">
        <f>'Параметры'!$C$4*'Параметры'!$C$7*(1+'Параметры'!$C$8)^INT((A88-'Параметры'!$C$11-1)/12)</f>
        <v/>
      </c>
      <c r="E88" s="15">
        <f>D88/(1+'Параметры'!$C$13)</f>
        <v/>
      </c>
      <c r="F88" s="15">
        <f>D88-E88</f>
        <v/>
      </c>
      <c r="G88" s="15">
        <f>IF(AND(A88&gt;'Параметры'!$C$11,A88&lt;='Параметры'!$C$11+3),'Параметры'!$C$28,0)</f>
        <v/>
      </c>
      <c r="H88" s="15">
        <f>F88-G88</f>
        <v/>
      </c>
      <c r="I88" s="15">
        <f>E88*'Параметры'!$C$16</f>
        <v/>
      </c>
      <c r="J88" s="15">
        <f>'Параметры'!$C$27</f>
        <v/>
      </c>
      <c r="K88" s="15">
        <f>MAX(0,'Параметры'!$C$20-'Параметры'!$C$27*MAX(0,A88-'Параметры'!$C$11-1))*'Параметры'!$C$15/12</f>
        <v/>
      </c>
      <c r="L88" s="15">
        <f>E88-I88-J88-K88</f>
        <v/>
      </c>
      <c r="M88" s="15">
        <f>T87*'Параметры'!$C$10/12</f>
        <v/>
      </c>
      <c r="N88" s="15">
        <f>L88-M88</f>
        <v/>
      </c>
      <c r="O88" s="15">
        <f>MAX(0,N88*'Параметры'!$C$14)</f>
        <v/>
      </c>
      <c r="P88" s="15">
        <f>N88-O88</f>
        <v/>
      </c>
      <c r="Q88" s="15" t="n">
        <v>0</v>
      </c>
      <c r="R88" s="15" t="n">
        <v>0</v>
      </c>
      <c r="S88" s="15">
        <f>MAX(0,MIN('Параметры'!$C$26-M88,T87))</f>
        <v/>
      </c>
      <c r="T88" s="15">
        <f>MAX(0,T87-S88)</f>
        <v/>
      </c>
      <c r="U88" s="15">
        <f>P88+J88-S88-H88</f>
        <v/>
      </c>
      <c r="V88" s="15">
        <f>V87+U88</f>
        <v/>
      </c>
    </row>
    <row r="89">
      <c r="A89" s="16" t="n">
        <v>88</v>
      </c>
      <c r="B89" s="16" t="inlineStr">
        <is>
          <t>01.11.2033</t>
        </is>
      </c>
      <c r="C89" s="17" t="inlineStr">
        <is>
          <t>Эксплуатация</t>
        </is>
      </c>
      <c r="D89" s="11">
        <f>'Параметры'!$C$4*'Параметры'!$C$7*(1+'Параметры'!$C$8)^INT((A89-'Параметры'!$C$11-1)/12)</f>
        <v/>
      </c>
      <c r="E89" s="11">
        <f>D89/(1+'Параметры'!$C$13)</f>
        <v/>
      </c>
      <c r="F89" s="11">
        <f>D89-E89</f>
        <v/>
      </c>
      <c r="G89" s="11">
        <f>IF(AND(A89&gt;'Параметры'!$C$11,A89&lt;='Параметры'!$C$11+3),'Параметры'!$C$28,0)</f>
        <v/>
      </c>
      <c r="H89" s="11">
        <f>F89-G89</f>
        <v/>
      </c>
      <c r="I89" s="11">
        <f>E89*'Параметры'!$C$16</f>
        <v/>
      </c>
      <c r="J89" s="11">
        <f>'Параметры'!$C$27</f>
        <v/>
      </c>
      <c r="K89" s="11">
        <f>MAX(0,'Параметры'!$C$20-'Параметры'!$C$27*MAX(0,A89-'Параметры'!$C$11-1))*'Параметры'!$C$15/12</f>
        <v/>
      </c>
      <c r="L89" s="11">
        <f>E89-I89-J89-K89</f>
        <v/>
      </c>
      <c r="M89" s="11">
        <f>T88*'Параметры'!$C$10/12</f>
        <v/>
      </c>
      <c r="N89" s="11">
        <f>L89-M89</f>
        <v/>
      </c>
      <c r="O89" s="11">
        <f>MAX(0,N89*'Параметры'!$C$14)</f>
        <v/>
      </c>
      <c r="P89" s="11">
        <f>N89-O89</f>
        <v/>
      </c>
      <c r="Q89" s="11" t="n">
        <v>0</v>
      </c>
      <c r="R89" s="11" t="n">
        <v>0</v>
      </c>
      <c r="S89" s="11">
        <f>MAX(0,MIN('Параметры'!$C$26-M89,T88))</f>
        <v/>
      </c>
      <c r="T89" s="11">
        <f>MAX(0,T88-S89)</f>
        <v/>
      </c>
      <c r="U89" s="11">
        <f>P89+J89-S89-H89</f>
        <v/>
      </c>
      <c r="V89" s="11">
        <f>V88+U89</f>
        <v/>
      </c>
    </row>
    <row r="90">
      <c r="A90" s="13" t="n">
        <v>89</v>
      </c>
      <c r="B90" s="13" t="inlineStr">
        <is>
          <t>01.12.2033</t>
        </is>
      </c>
      <c r="C90" s="14" t="inlineStr">
        <is>
          <t>Эксплуатация</t>
        </is>
      </c>
      <c r="D90" s="15">
        <f>'Параметры'!$C$4*'Параметры'!$C$7*(1+'Параметры'!$C$8)^INT((A90-'Параметры'!$C$11-1)/12)</f>
        <v/>
      </c>
      <c r="E90" s="15">
        <f>D90/(1+'Параметры'!$C$13)</f>
        <v/>
      </c>
      <c r="F90" s="15">
        <f>D90-E90</f>
        <v/>
      </c>
      <c r="G90" s="15">
        <f>IF(AND(A90&gt;'Параметры'!$C$11,A90&lt;='Параметры'!$C$11+3),'Параметры'!$C$28,0)</f>
        <v/>
      </c>
      <c r="H90" s="15">
        <f>F90-G90</f>
        <v/>
      </c>
      <c r="I90" s="15">
        <f>E90*'Параметры'!$C$16</f>
        <v/>
      </c>
      <c r="J90" s="15">
        <f>'Параметры'!$C$27</f>
        <v/>
      </c>
      <c r="K90" s="15">
        <f>MAX(0,'Параметры'!$C$20-'Параметры'!$C$27*MAX(0,A90-'Параметры'!$C$11-1))*'Параметры'!$C$15/12</f>
        <v/>
      </c>
      <c r="L90" s="15">
        <f>E90-I90-J90-K90</f>
        <v/>
      </c>
      <c r="M90" s="15">
        <f>T89*'Параметры'!$C$10/12</f>
        <v/>
      </c>
      <c r="N90" s="15">
        <f>L90-M90</f>
        <v/>
      </c>
      <c r="O90" s="15">
        <f>MAX(0,N90*'Параметры'!$C$14)</f>
        <v/>
      </c>
      <c r="P90" s="15">
        <f>N90-O90</f>
        <v/>
      </c>
      <c r="Q90" s="15" t="n">
        <v>0</v>
      </c>
      <c r="R90" s="15" t="n">
        <v>0</v>
      </c>
      <c r="S90" s="15">
        <f>MAX(0,MIN('Параметры'!$C$26-M90,T89))</f>
        <v/>
      </c>
      <c r="T90" s="15">
        <f>MAX(0,T89-S90)</f>
        <v/>
      </c>
      <c r="U90" s="15">
        <f>P90+J90-S90-H90</f>
        <v/>
      </c>
      <c r="V90" s="15">
        <f>V89+U90</f>
        <v/>
      </c>
    </row>
    <row r="91">
      <c r="A91" s="16" t="n">
        <v>90</v>
      </c>
      <c r="B91" s="16" t="inlineStr">
        <is>
          <t>01.01.2034</t>
        </is>
      </c>
      <c r="C91" s="17" t="inlineStr">
        <is>
          <t>Эксплуатация</t>
        </is>
      </c>
      <c r="D91" s="11">
        <f>'Параметры'!$C$4*'Параметры'!$C$7*(1+'Параметры'!$C$8)^INT((A91-'Параметры'!$C$11-1)/12)</f>
        <v/>
      </c>
      <c r="E91" s="11">
        <f>D91/(1+'Параметры'!$C$13)</f>
        <v/>
      </c>
      <c r="F91" s="11">
        <f>D91-E91</f>
        <v/>
      </c>
      <c r="G91" s="11">
        <f>IF(AND(A91&gt;'Параметры'!$C$11,A91&lt;='Параметры'!$C$11+3),'Параметры'!$C$28,0)</f>
        <v/>
      </c>
      <c r="H91" s="11">
        <f>F91-G91</f>
        <v/>
      </c>
      <c r="I91" s="11">
        <f>E91*'Параметры'!$C$16</f>
        <v/>
      </c>
      <c r="J91" s="11">
        <f>'Параметры'!$C$27</f>
        <v/>
      </c>
      <c r="K91" s="11">
        <f>MAX(0,'Параметры'!$C$20-'Параметры'!$C$27*MAX(0,A91-'Параметры'!$C$11-1))*'Параметры'!$C$15/12</f>
        <v/>
      </c>
      <c r="L91" s="11">
        <f>E91-I91-J91-K91</f>
        <v/>
      </c>
      <c r="M91" s="11">
        <f>T90*'Параметры'!$C$10/12</f>
        <v/>
      </c>
      <c r="N91" s="11">
        <f>L91-M91</f>
        <v/>
      </c>
      <c r="O91" s="11">
        <f>MAX(0,N91*'Параметры'!$C$14)</f>
        <v/>
      </c>
      <c r="P91" s="11">
        <f>N91-O91</f>
        <v/>
      </c>
      <c r="Q91" s="11" t="n">
        <v>0</v>
      </c>
      <c r="R91" s="11" t="n">
        <v>0</v>
      </c>
      <c r="S91" s="11">
        <f>MAX(0,MIN('Параметры'!$C$26-M91,T90))</f>
        <v/>
      </c>
      <c r="T91" s="11">
        <f>MAX(0,T90-S91)</f>
        <v/>
      </c>
      <c r="U91" s="11">
        <f>P91+J91-S91-H91</f>
        <v/>
      </c>
      <c r="V91" s="11">
        <f>V90+U91</f>
        <v/>
      </c>
    </row>
    <row r="92">
      <c r="A92" s="13" t="n">
        <v>91</v>
      </c>
      <c r="B92" s="13" t="inlineStr">
        <is>
          <t>01.02.2034</t>
        </is>
      </c>
      <c r="C92" s="14" t="inlineStr">
        <is>
          <t>Эксплуатация</t>
        </is>
      </c>
      <c r="D92" s="15">
        <f>'Параметры'!$C$4*'Параметры'!$C$7*(1+'Параметры'!$C$8)^INT((A92-'Параметры'!$C$11-1)/12)</f>
        <v/>
      </c>
      <c r="E92" s="15">
        <f>D92/(1+'Параметры'!$C$13)</f>
        <v/>
      </c>
      <c r="F92" s="15">
        <f>D92-E92</f>
        <v/>
      </c>
      <c r="G92" s="15">
        <f>IF(AND(A92&gt;'Параметры'!$C$11,A92&lt;='Параметры'!$C$11+3),'Параметры'!$C$28,0)</f>
        <v/>
      </c>
      <c r="H92" s="15">
        <f>F92-G92</f>
        <v/>
      </c>
      <c r="I92" s="15">
        <f>E92*'Параметры'!$C$16</f>
        <v/>
      </c>
      <c r="J92" s="15">
        <f>'Параметры'!$C$27</f>
        <v/>
      </c>
      <c r="K92" s="15">
        <f>MAX(0,'Параметры'!$C$20-'Параметры'!$C$27*MAX(0,A92-'Параметры'!$C$11-1))*'Параметры'!$C$15/12</f>
        <v/>
      </c>
      <c r="L92" s="15">
        <f>E92-I92-J92-K92</f>
        <v/>
      </c>
      <c r="M92" s="15">
        <f>T91*'Параметры'!$C$10/12</f>
        <v/>
      </c>
      <c r="N92" s="15">
        <f>L92-M92</f>
        <v/>
      </c>
      <c r="O92" s="15">
        <f>MAX(0,N92*'Параметры'!$C$14)</f>
        <v/>
      </c>
      <c r="P92" s="15">
        <f>N92-O92</f>
        <v/>
      </c>
      <c r="Q92" s="15" t="n">
        <v>0</v>
      </c>
      <c r="R92" s="15" t="n">
        <v>0</v>
      </c>
      <c r="S92" s="15">
        <f>MAX(0,MIN('Параметры'!$C$26-M92,T91))</f>
        <v/>
      </c>
      <c r="T92" s="15">
        <f>MAX(0,T91-S92)</f>
        <v/>
      </c>
      <c r="U92" s="15">
        <f>P92+J92-S92-H92</f>
        <v/>
      </c>
      <c r="V92" s="15">
        <f>V91+U92</f>
        <v/>
      </c>
    </row>
    <row r="93">
      <c r="A93" s="16" t="n">
        <v>92</v>
      </c>
      <c r="B93" s="16" t="inlineStr">
        <is>
          <t>01.03.2034</t>
        </is>
      </c>
      <c r="C93" s="17" t="inlineStr">
        <is>
          <t>Эксплуатация</t>
        </is>
      </c>
      <c r="D93" s="11">
        <f>'Параметры'!$C$4*'Параметры'!$C$7*(1+'Параметры'!$C$8)^INT((A93-'Параметры'!$C$11-1)/12)</f>
        <v/>
      </c>
      <c r="E93" s="11">
        <f>D93/(1+'Параметры'!$C$13)</f>
        <v/>
      </c>
      <c r="F93" s="11">
        <f>D93-E93</f>
        <v/>
      </c>
      <c r="G93" s="11">
        <f>IF(AND(A93&gt;'Параметры'!$C$11,A93&lt;='Параметры'!$C$11+3),'Параметры'!$C$28,0)</f>
        <v/>
      </c>
      <c r="H93" s="11">
        <f>F93-G93</f>
        <v/>
      </c>
      <c r="I93" s="11">
        <f>E93*'Параметры'!$C$16</f>
        <v/>
      </c>
      <c r="J93" s="11">
        <f>'Параметры'!$C$27</f>
        <v/>
      </c>
      <c r="K93" s="11">
        <f>MAX(0,'Параметры'!$C$20-'Параметры'!$C$27*MAX(0,A93-'Параметры'!$C$11-1))*'Параметры'!$C$15/12</f>
        <v/>
      </c>
      <c r="L93" s="11">
        <f>E93-I93-J93-K93</f>
        <v/>
      </c>
      <c r="M93" s="11">
        <f>T92*'Параметры'!$C$10/12</f>
        <v/>
      </c>
      <c r="N93" s="11">
        <f>L93-M93</f>
        <v/>
      </c>
      <c r="O93" s="11">
        <f>MAX(0,N93*'Параметры'!$C$14)</f>
        <v/>
      </c>
      <c r="P93" s="11">
        <f>N93-O93</f>
        <v/>
      </c>
      <c r="Q93" s="11" t="n">
        <v>0</v>
      </c>
      <c r="R93" s="11" t="n">
        <v>0</v>
      </c>
      <c r="S93" s="11">
        <f>MAX(0,MIN('Параметры'!$C$26-M93,T92))</f>
        <v/>
      </c>
      <c r="T93" s="11">
        <f>MAX(0,T92-S93)</f>
        <v/>
      </c>
      <c r="U93" s="11">
        <f>P93+J93-S93-H93</f>
        <v/>
      </c>
      <c r="V93" s="11">
        <f>V92+U93</f>
        <v/>
      </c>
    </row>
    <row r="94">
      <c r="A94" s="13" t="n">
        <v>93</v>
      </c>
      <c r="B94" s="13" t="inlineStr">
        <is>
          <t>01.04.2034</t>
        </is>
      </c>
      <c r="C94" s="14" t="inlineStr">
        <is>
          <t>Эксплуатация</t>
        </is>
      </c>
      <c r="D94" s="15">
        <f>'Параметры'!$C$4*'Параметры'!$C$7*(1+'Параметры'!$C$8)^INT((A94-'Параметры'!$C$11-1)/12)</f>
        <v/>
      </c>
      <c r="E94" s="15">
        <f>D94/(1+'Параметры'!$C$13)</f>
        <v/>
      </c>
      <c r="F94" s="15">
        <f>D94-E94</f>
        <v/>
      </c>
      <c r="G94" s="15">
        <f>IF(AND(A94&gt;'Параметры'!$C$11,A94&lt;='Параметры'!$C$11+3),'Параметры'!$C$28,0)</f>
        <v/>
      </c>
      <c r="H94" s="15">
        <f>F94-G94</f>
        <v/>
      </c>
      <c r="I94" s="15">
        <f>E94*'Параметры'!$C$16</f>
        <v/>
      </c>
      <c r="J94" s="15">
        <f>'Параметры'!$C$27</f>
        <v/>
      </c>
      <c r="K94" s="15">
        <f>MAX(0,'Параметры'!$C$20-'Параметры'!$C$27*MAX(0,A94-'Параметры'!$C$11-1))*'Параметры'!$C$15/12</f>
        <v/>
      </c>
      <c r="L94" s="15">
        <f>E94-I94-J94-K94</f>
        <v/>
      </c>
      <c r="M94" s="15">
        <f>T93*'Параметры'!$C$10/12</f>
        <v/>
      </c>
      <c r="N94" s="15">
        <f>L94-M94</f>
        <v/>
      </c>
      <c r="O94" s="15">
        <f>MAX(0,N94*'Параметры'!$C$14)</f>
        <v/>
      </c>
      <c r="P94" s="15">
        <f>N94-O94</f>
        <v/>
      </c>
      <c r="Q94" s="15" t="n">
        <v>0</v>
      </c>
      <c r="R94" s="15" t="n">
        <v>0</v>
      </c>
      <c r="S94" s="15">
        <f>MAX(0,MIN('Параметры'!$C$26-M94,T93))</f>
        <v/>
      </c>
      <c r="T94" s="15">
        <f>MAX(0,T93-S94)</f>
        <v/>
      </c>
      <c r="U94" s="15">
        <f>P94+J94-S94-H94</f>
        <v/>
      </c>
      <c r="V94" s="15">
        <f>V93+U94</f>
        <v/>
      </c>
    </row>
    <row r="95">
      <c r="A95" s="16" t="n">
        <v>94</v>
      </c>
      <c r="B95" s="16" t="inlineStr">
        <is>
          <t>01.05.2034</t>
        </is>
      </c>
      <c r="C95" s="17" t="inlineStr">
        <is>
          <t>Эксплуатация</t>
        </is>
      </c>
      <c r="D95" s="11">
        <f>'Параметры'!$C$4*'Параметры'!$C$7*(1+'Параметры'!$C$8)^INT((A95-'Параметры'!$C$11-1)/12)</f>
        <v/>
      </c>
      <c r="E95" s="11">
        <f>D95/(1+'Параметры'!$C$13)</f>
        <v/>
      </c>
      <c r="F95" s="11">
        <f>D95-E95</f>
        <v/>
      </c>
      <c r="G95" s="11">
        <f>IF(AND(A95&gt;'Параметры'!$C$11,A95&lt;='Параметры'!$C$11+3),'Параметры'!$C$28,0)</f>
        <v/>
      </c>
      <c r="H95" s="11">
        <f>F95-G95</f>
        <v/>
      </c>
      <c r="I95" s="11">
        <f>E95*'Параметры'!$C$16</f>
        <v/>
      </c>
      <c r="J95" s="11">
        <f>'Параметры'!$C$27</f>
        <v/>
      </c>
      <c r="K95" s="11">
        <f>MAX(0,'Параметры'!$C$20-'Параметры'!$C$27*MAX(0,A95-'Параметры'!$C$11-1))*'Параметры'!$C$15/12</f>
        <v/>
      </c>
      <c r="L95" s="11">
        <f>E95-I95-J95-K95</f>
        <v/>
      </c>
      <c r="M95" s="11">
        <f>T94*'Параметры'!$C$10/12</f>
        <v/>
      </c>
      <c r="N95" s="11">
        <f>L95-M95</f>
        <v/>
      </c>
      <c r="O95" s="11">
        <f>MAX(0,N95*'Параметры'!$C$14)</f>
        <v/>
      </c>
      <c r="P95" s="11">
        <f>N95-O95</f>
        <v/>
      </c>
      <c r="Q95" s="11" t="n">
        <v>0</v>
      </c>
      <c r="R95" s="11" t="n">
        <v>0</v>
      </c>
      <c r="S95" s="11">
        <f>MAX(0,MIN('Параметры'!$C$26-M95,T94))</f>
        <v/>
      </c>
      <c r="T95" s="11">
        <f>MAX(0,T94-S95)</f>
        <v/>
      </c>
      <c r="U95" s="11">
        <f>P95+J95-S95-H95</f>
        <v/>
      </c>
      <c r="V95" s="11">
        <f>V94+U95</f>
        <v/>
      </c>
    </row>
    <row r="96">
      <c r="A96" s="13" t="n">
        <v>95</v>
      </c>
      <c r="B96" s="13" t="inlineStr">
        <is>
          <t>01.06.2034</t>
        </is>
      </c>
      <c r="C96" s="14" t="inlineStr">
        <is>
          <t>Эксплуатация</t>
        </is>
      </c>
      <c r="D96" s="15">
        <f>'Параметры'!$C$4*'Параметры'!$C$7*(1+'Параметры'!$C$8)^INT((A96-'Параметры'!$C$11-1)/12)</f>
        <v/>
      </c>
      <c r="E96" s="15">
        <f>D96/(1+'Параметры'!$C$13)</f>
        <v/>
      </c>
      <c r="F96" s="15">
        <f>D96-E96</f>
        <v/>
      </c>
      <c r="G96" s="15">
        <f>IF(AND(A96&gt;'Параметры'!$C$11,A96&lt;='Параметры'!$C$11+3),'Параметры'!$C$28,0)</f>
        <v/>
      </c>
      <c r="H96" s="15">
        <f>F96-G96</f>
        <v/>
      </c>
      <c r="I96" s="15">
        <f>E96*'Параметры'!$C$16</f>
        <v/>
      </c>
      <c r="J96" s="15">
        <f>'Параметры'!$C$27</f>
        <v/>
      </c>
      <c r="K96" s="15">
        <f>MAX(0,'Параметры'!$C$20-'Параметры'!$C$27*MAX(0,A96-'Параметры'!$C$11-1))*'Параметры'!$C$15/12</f>
        <v/>
      </c>
      <c r="L96" s="15">
        <f>E96-I96-J96-K96</f>
        <v/>
      </c>
      <c r="M96" s="15">
        <f>T95*'Параметры'!$C$10/12</f>
        <v/>
      </c>
      <c r="N96" s="15">
        <f>L96-M96</f>
        <v/>
      </c>
      <c r="O96" s="15">
        <f>MAX(0,N96*'Параметры'!$C$14)</f>
        <v/>
      </c>
      <c r="P96" s="15">
        <f>N96-O96</f>
        <v/>
      </c>
      <c r="Q96" s="15" t="n">
        <v>0</v>
      </c>
      <c r="R96" s="15" t="n">
        <v>0</v>
      </c>
      <c r="S96" s="15">
        <f>MAX(0,MIN('Параметры'!$C$26-M96,T95))</f>
        <v/>
      </c>
      <c r="T96" s="15">
        <f>MAX(0,T95-S96)</f>
        <v/>
      </c>
      <c r="U96" s="15">
        <f>P96+J96-S96-H96</f>
        <v/>
      </c>
      <c r="V96" s="15">
        <f>V95+U96</f>
        <v/>
      </c>
    </row>
    <row r="97">
      <c r="A97" s="16" t="n">
        <v>96</v>
      </c>
      <c r="B97" s="16" t="inlineStr">
        <is>
          <t>01.07.2034</t>
        </is>
      </c>
      <c r="C97" s="17" t="inlineStr">
        <is>
          <t>Эксплуатация</t>
        </is>
      </c>
      <c r="D97" s="11">
        <f>'Параметры'!$C$4*'Параметры'!$C$7*(1+'Параметры'!$C$8)^INT((A97-'Параметры'!$C$11-1)/12)</f>
        <v/>
      </c>
      <c r="E97" s="11">
        <f>D97/(1+'Параметры'!$C$13)</f>
        <v/>
      </c>
      <c r="F97" s="11">
        <f>D97-E97</f>
        <v/>
      </c>
      <c r="G97" s="11">
        <f>IF(AND(A97&gt;'Параметры'!$C$11,A97&lt;='Параметры'!$C$11+3),'Параметры'!$C$28,0)</f>
        <v/>
      </c>
      <c r="H97" s="11">
        <f>F97-G97</f>
        <v/>
      </c>
      <c r="I97" s="11">
        <f>E97*'Параметры'!$C$16</f>
        <v/>
      </c>
      <c r="J97" s="11">
        <f>'Параметры'!$C$27</f>
        <v/>
      </c>
      <c r="K97" s="11">
        <f>MAX(0,'Параметры'!$C$20-'Параметры'!$C$27*MAX(0,A97-'Параметры'!$C$11-1))*'Параметры'!$C$15/12</f>
        <v/>
      </c>
      <c r="L97" s="11">
        <f>E97-I97-J97-K97</f>
        <v/>
      </c>
      <c r="M97" s="11">
        <f>T96*'Параметры'!$C$10/12</f>
        <v/>
      </c>
      <c r="N97" s="11">
        <f>L97-M97</f>
        <v/>
      </c>
      <c r="O97" s="11">
        <f>MAX(0,N97*'Параметры'!$C$14)</f>
        <v/>
      </c>
      <c r="P97" s="11">
        <f>N97-O97</f>
        <v/>
      </c>
      <c r="Q97" s="11" t="n">
        <v>0</v>
      </c>
      <c r="R97" s="11" t="n">
        <v>0</v>
      </c>
      <c r="S97" s="11">
        <f>MAX(0,MIN('Параметры'!$C$26-M97,T96))</f>
        <v/>
      </c>
      <c r="T97" s="11">
        <f>MAX(0,T96-S97)</f>
        <v/>
      </c>
      <c r="U97" s="11">
        <f>P97+J97-S97-H97</f>
        <v/>
      </c>
      <c r="V97" s="11">
        <f>V96+U97</f>
        <v/>
      </c>
    </row>
    <row r="98">
      <c r="A98" s="13" t="n">
        <v>97</v>
      </c>
      <c r="B98" s="13" t="inlineStr">
        <is>
          <t>01.08.2034</t>
        </is>
      </c>
      <c r="C98" s="14" t="inlineStr">
        <is>
          <t>Эксплуатация</t>
        </is>
      </c>
      <c r="D98" s="15">
        <f>'Параметры'!$C$4*'Параметры'!$C$7*(1+'Параметры'!$C$8)^INT((A98-'Параметры'!$C$11-1)/12)</f>
        <v/>
      </c>
      <c r="E98" s="15">
        <f>D98/(1+'Параметры'!$C$13)</f>
        <v/>
      </c>
      <c r="F98" s="15">
        <f>D98-E98</f>
        <v/>
      </c>
      <c r="G98" s="15">
        <f>IF(AND(A98&gt;'Параметры'!$C$11,A98&lt;='Параметры'!$C$11+3),'Параметры'!$C$28,0)</f>
        <v/>
      </c>
      <c r="H98" s="15">
        <f>F98-G98</f>
        <v/>
      </c>
      <c r="I98" s="15">
        <f>E98*'Параметры'!$C$16</f>
        <v/>
      </c>
      <c r="J98" s="15">
        <f>'Параметры'!$C$27</f>
        <v/>
      </c>
      <c r="K98" s="15">
        <f>MAX(0,'Параметры'!$C$20-'Параметры'!$C$27*MAX(0,A98-'Параметры'!$C$11-1))*'Параметры'!$C$15/12</f>
        <v/>
      </c>
      <c r="L98" s="15">
        <f>E98-I98-J98-K98</f>
        <v/>
      </c>
      <c r="M98" s="15">
        <f>T97*'Параметры'!$C$10/12</f>
        <v/>
      </c>
      <c r="N98" s="15">
        <f>L98-M98</f>
        <v/>
      </c>
      <c r="O98" s="15">
        <f>MAX(0,N98*'Параметры'!$C$14)</f>
        <v/>
      </c>
      <c r="P98" s="15">
        <f>N98-O98</f>
        <v/>
      </c>
      <c r="Q98" s="15" t="n">
        <v>0</v>
      </c>
      <c r="R98" s="15" t="n">
        <v>0</v>
      </c>
      <c r="S98" s="15">
        <f>MAX(0,MIN('Параметры'!$C$26-M98,T97))</f>
        <v/>
      </c>
      <c r="T98" s="15">
        <f>MAX(0,T97-S98)</f>
        <v/>
      </c>
      <c r="U98" s="15">
        <f>P98+J98-S98-H98</f>
        <v/>
      </c>
      <c r="V98" s="15">
        <f>V97+U98</f>
        <v/>
      </c>
    </row>
    <row r="99">
      <c r="A99" s="16" t="n">
        <v>98</v>
      </c>
      <c r="B99" s="16" t="inlineStr">
        <is>
          <t>01.09.2034</t>
        </is>
      </c>
      <c r="C99" s="17" t="inlineStr">
        <is>
          <t>Эксплуатация</t>
        </is>
      </c>
      <c r="D99" s="11">
        <f>'Параметры'!$C$4*'Параметры'!$C$7*(1+'Параметры'!$C$8)^INT((A99-'Параметры'!$C$11-1)/12)</f>
        <v/>
      </c>
      <c r="E99" s="11">
        <f>D99/(1+'Параметры'!$C$13)</f>
        <v/>
      </c>
      <c r="F99" s="11">
        <f>D99-E99</f>
        <v/>
      </c>
      <c r="G99" s="11">
        <f>IF(AND(A99&gt;'Параметры'!$C$11,A99&lt;='Параметры'!$C$11+3),'Параметры'!$C$28,0)</f>
        <v/>
      </c>
      <c r="H99" s="11">
        <f>F99-G99</f>
        <v/>
      </c>
      <c r="I99" s="11">
        <f>E99*'Параметры'!$C$16</f>
        <v/>
      </c>
      <c r="J99" s="11">
        <f>'Параметры'!$C$27</f>
        <v/>
      </c>
      <c r="K99" s="11">
        <f>MAX(0,'Параметры'!$C$20-'Параметры'!$C$27*MAX(0,A99-'Параметры'!$C$11-1))*'Параметры'!$C$15/12</f>
        <v/>
      </c>
      <c r="L99" s="11">
        <f>E99-I99-J99-K99</f>
        <v/>
      </c>
      <c r="M99" s="11">
        <f>T98*'Параметры'!$C$10/12</f>
        <v/>
      </c>
      <c r="N99" s="11">
        <f>L99-M99</f>
        <v/>
      </c>
      <c r="O99" s="11">
        <f>MAX(0,N99*'Параметры'!$C$14)</f>
        <v/>
      </c>
      <c r="P99" s="11">
        <f>N99-O99</f>
        <v/>
      </c>
      <c r="Q99" s="11" t="n">
        <v>0</v>
      </c>
      <c r="R99" s="11" t="n">
        <v>0</v>
      </c>
      <c r="S99" s="11">
        <f>MAX(0,MIN('Параметры'!$C$26-M99,T98))</f>
        <v/>
      </c>
      <c r="T99" s="11">
        <f>MAX(0,T98-S99)</f>
        <v/>
      </c>
      <c r="U99" s="11">
        <f>P99+J99-S99-H99</f>
        <v/>
      </c>
      <c r="V99" s="11">
        <f>V98+U99</f>
        <v/>
      </c>
    </row>
    <row r="100">
      <c r="A100" s="13" t="n">
        <v>99</v>
      </c>
      <c r="B100" s="13" t="inlineStr">
        <is>
          <t>01.10.2034</t>
        </is>
      </c>
      <c r="C100" s="14" t="inlineStr">
        <is>
          <t>Эксплуатация</t>
        </is>
      </c>
      <c r="D100" s="15">
        <f>'Параметры'!$C$4*'Параметры'!$C$7*(1+'Параметры'!$C$8)^INT((A100-'Параметры'!$C$11-1)/12)</f>
        <v/>
      </c>
      <c r="E100" s="15">
        <f>D100/(1+'Параметры'!$C$13)</f>
        <v/>
      </c>
      <c r="F100" s="15">
        <f>D100-E100</f>
        <v/>
      </c>
      <c r="G100" s="15">
        <f>IF(AND(A100&gt;'Параметры'!$C$11,A100&lt;='Параметры'!$C$11+3),'Параметры'!$C$28,0)</f>
        <v/>
      </c>
      <c r="H100" s="15">
        <f>F100-G100</f>
        <v/>
      </c>
      <c r="I100" s="15">
        <f>E100*'Параметры'!$C$16</f>
        <v/>
      </c>
      <c r="J100" s="15">
        <f>'Параметры'!$C$27</f>
        <v/>
      </c>
      <c r="K100" s="15">
        <f>MAX(0,'Параметры'!$C$20-'Параметры'!$C$27*MAX(0,A100-'Параметры'!$C$11-1))*'Параметры'!$C$15/12</f>
        <v/>
      </c>
      <c r="L100" s="15">
        <f>E100-I100-J100-K100</f>
        <v/>
      </c>
      <c r="M100" s="15">
        <f>T99*'Параметры'!$C$10/12</f>
        <v/>
      </c>
      <c r="N100" s="15">
        <f>L100-M100</f>
        <v/>
      </c>
      <c r="O100" s="15">
        <f>MAX(0,N100*'Параметры'!$C$14)</f>
        <v/>
      </c>
      <c r="P100" s="15">
        <f>N100-O100</f>
        <v/>
      </c>
      <c r="Q100" s="15" t="n">
        <v>0</v>
      </c>
      <c r="R100" s="15" t="n">
        <v>0</v>
      </c>
      <c r="S100" s="15">
        <f>MAX(0,MIN('Параметры'!$C$26-M100,T99))</f>
        <v/>
      </c>
      <c r="T100" s="15">
        <f>MAX(0,T99-S100)</f>
        <v/>
      </c>
      <c r="U100" s="15">
        <f>P100+J100-S100-H100</f>
        <v/>
      </c>
      <c r="V100" s="15">
        <f>V99+U100</f>
        <v/>
      </c>
    </row>
    <row r="101">
      <c r="A101" s="16" t="n">
        <v>100</v>
      </c>
      <c r="B101" s="16" t="inlineStr">
        <is>
          <t>01.11.2034</t>
        </is>
      </c>
      <c r="C101" s="17" t="inlineStr">
        <is>
          <t>Эксплуатация</t>
        </is>
      </c>
      <c r="D101" s="11">
        <f>'Параметры'!$C$4*'Параметры'!$C$7*(1+'Параметры'!$C$8)^INT((A101-'Параметры'!$C$11-1)/12)</f>
        <v/>
      </c>
      <c r="E101" s="11">
        <f>D101/(1+'Параметры'!$C$13)</f>
        <v/>
      </c>
      <c r="F101" s="11">
        <f>D101-E101</f>
        <v/>
      </c>
      <c r="G101" s="11">
        <f>IF(AND(A101&gt;'Параметры'!$C$11,A101&lt;='Параметры'!$C$11+3),'Параметры'!$C$28,0)</f>
        <v/>
      </c>
      <c r="H101" s="11">
        <f>F101-G101</f>
        <v/>
      </c>
      <c r="I101" s="11">
        <f>E101*'Параметры'!$C$16</f>
        <v/>
      </c>
      <c r="J101" s="11">
        <f>'Параметры'!$C$27</f>
        <v/>
      </c>
      <c r="K101" s="11">
        <f>MAX(0,'Параметры'!$C$20-'Параметры'!$C$27*MAX(0,A101-'Параметры'!$C$11-1))*'Параметры'!$C$15/12</f>
        <v/>
      </c>
      <c r="L101" s="11">
        <f>E101-I101-J101-K101</f>
        <v/>
      </c>
      <c r="M101" s="11">
        <f>T100*'Параметры'!$C$10/12</f>
        <v/>
      </c>
      <c r="N101" s="11">
        <f>L101-M101</f>
        <v/>
      </c>
      <c r="O101" s="11">
        <f>MAX(0,N101*'Параметры'!$C$14)</f>
        <v/>
      </c>
      <c r="P101" s="11">
        <f>N101-O101</f>
        <v/>
      </c>
      <c r="Q101" s="11" t="n">
        <v>0</v>
      </c>
      <c r="R101" s="11" t="n">
        <v>0</v>
      </c>
      <c r="S101" s="11">
        <f>MAX(0,MIN('Параметры'!$C$26-M101,T100))</f>
        <v/>
      </c>
      <c r="T101" s="11">
        <f>MAX(0,T100-S101)</f>
        <v/>
      </c>
      <c r="U101" s="11">
        <f>P101+J101-S101-H101</f>
        <v/>
      </c>
      <c r="V101" s="11">
        <f>V100+U101</f>
        <v/>
      </c>
    </row>
    <row r="102">
      <c r="A102" s="13" t="n">
        <v>101</v>
      </c>
      <c r="B102" s="13" t="inlineStr">
        <is>
          <t>01.12.2034</t>
        </is>
      </c>
      <c r="C102" s="14" t="inlineStr">
        <is>
          <t>Эксплуатация</t>
        </is>
      </c>
      <c r="D102" s="15">
        <f>'Параметры'!$C$4*'Параметры'!$C$7*(1+'Параметры'!$C$8)^INT((A102-'Параметры'!$C$11-1)/12)</f>
        <v/>
      </c>
      <c r="E102" s="15">
        <f>D102/(1+'Параметры'!$C$13)</f>
        <v/>
      </c>
      <c r="F102" s="15">
        <f>D102-E102</f>
        <v/>
      </c>
      <c r="G102" s="15">
        <f>IF(AND(A102&gt;'Параметры'!$C$11,A102&lt;='Параметры'!$C$11+3),'Параметры'!$C$28,0)</f>
        <v/>
      </c>
      <c r="H102" s="15">
        <f>F102-G102</f>
        <v/>
      </c>
      <c r="I102" s="15">
        <f>E102*'Параметры'!$C$16</f>
        <v/>
      </c>
      <c r="J102" s="15">
        <f>'Параметры'!$C$27</f>
        <v/>
      </c>
      <c r="K102" s="15">
        <f>MAX(0,'Параметры'!$C$20-'Параметры'!$C$27*MAX(0,A102-'Параметры'!$C$11-1))*'Параметры'!$C$15/12</f>
        <v/>
      </c>
      <c r="L102" s="15">
        <f>E102-I102-J102-K102</f>
        <v/>
      </c>
      <c r="M102" s="15">
        <f>T101*'Параметры'!$C$10/12</f>
        <v/>
      </c>
      <c r="N102" s="15">
        <f>L102-M102</f>
        <v/>
      </c>
      <c r="O102" s="15">
        <f>MAX(0,N102*'Параметры'!$C$14)</f>
        <v/>
      </c>
      <c r="P102" s="15">
        <f>N102-O102</f>
        <v/>
      </c>
      <c r="Q102" s="15" t="n">
        <v>0</v>
      </c>
      <c r="R102" s="15" t="n">
        <v>0</v>
      </c>
      <c r="S102" s="15">
        <f>MAX(0,MIN('Параметры'!$C$26-M102,T101))</f>
        <v/>
      </c>
      <c r="T102" s="15">
        <f>MAX(0,T101-S102)</f>
        <v/>
      </c>
      <c r="U102" s="15">
        <f>P102+J102-S102-H102</f>
        <v/>
      </c>
      <c r="V102" s="15">
        <f>V101+U102</f>
        <v/>
      </c>
    </row>
    <row r="103">
      <c r="A103" s="16" t="n">
        <v>102</v>
      </c>
      <c r="B103" s="16" t="inlineStr">
        <is>
          <t>01.01.2035</t>
        </is>
      </c>
      <c r="C103" s="17" t="inlineStr">
        <is>
          <t>Эксплуатация</t>
        </is>
      </c>
      <c r="D103" s="11">
        <f>'Параметры'!$C$4*'Параметры'!$C$7*(1+'Параметры'!$C$8)^INT((A103-'Параметры'!$C$11-1)/12)</f>
        <v/>
      </c>
      <c r="E103" s="11">
        <f>D103/(1+'Параметры'!$C$13)</f>
        <v/>
      </c>
      <c r="F103" s="11">
        <f>D103-E103</f>
        <v/>
      </c>
      <c r="G103" s="11">
        <f>IF(AND(A103&gt;'Параметры'!$C$11,A103&lt;='Параметры'!$C$11+3),'Параметры'!$C$28,0)</f>
        <v/>
      </c>
      <c r="H103" s="11">
        <f>F103-G103</f>
        <v/>
      </c>
      <c r="I103" s="11">
        <f>E103*'Параметры'!$C$16</f>
        <v/>
      </c>
      <c r="J103" s="11">
        <f>'Параметры'!$C$27</f>
        <v/>
      </c>
      <c r="K103" s="11">
        <f>MAX(0,'Параметры'!$C$20-'Параметры'!$C$27*MAX(0,A103-'Параметры'!$C$11-1))*'Параметры'!$C$15/12</f>
        <v/>
      </c>
      <c r="L103" s="11">
        <f>E103-I103-J103-K103</f>
        <v/>
      </c>
      <c r="M103" s="11">
        <f>T102*'Параметры'!$C$10/12</f>
        <v/>
      </c>
      <c r="N103" s="11">
        <f>L103-M103</f>
        <v/>
      </c>
      <c r="O103" s="11">
        <f>MAX(0,N103*'Параметры'!$C$14)</f>
        <v/>
      </c>
      <c r="P103" s="11">
        <f>N103-O103</f>
        <v/>
      </c>
      <c r="Q103" s="11" t="n">
        <v>0</v>
      </c>
      <c r="R103" s="11" t="n">
        <v>0</v>
      </c>
      <c r="S103" s="11">
        <f>MAX(0,MIN('Параметры'!$C$26-M103,T102))</f>
        <v/>
      </c>
      <c r="T103" s="11">
        <f>MAX(0,T102-S103)</f>
        <v/>
      </c>
      <c r="U103" s="11">
        <f>P103+J103-S103-H103</f>
        <v/>
      </c>
      <c r="V103" s="11">
        <f>V102+U103</f>
        <v/>
      </c>
    </row>
    <row r="104">
      <c r="A104" s="13" t="n">
        <v>103</v>
      </c>
      <c r="B104" s="13" t="inlineStr">
        <is>
          <t>01.02.2035</t>
        </is>
      </c>
      <c r="C104" s="14" t="inlineStr">
        <is>
          <t>Эксплуатация</t>
        </is>
      </c>
      <c r="D104" s="15">
        <f>'Параметры'!$C$4*'Параметры'!$C$7*(1+'Параметры'!$C$8)^INT((A104-'Параметры'!$C$11-1)/12)</f>
        <v/>
      </c>
      <c r="E104" s="15">
        <f>D104/(1+'Параметры'!$C$13)</f>
        <v/>
      </c>
      <c r="F104" s="15">
        <f>D104-E104</f>
        <v/>
      </c>
      <c r="G104" s="15">
        <f>IF(AND(A104&gt;'Параметры'!$C$11,A104&lt;='Параметры'!$C$11+3),'Параметры'!$C$28,0)</f>
        <v/>
      </c>
      <c r="H104" s="15">
        <f>F104-G104</f>
        <v/>
      </c>
      <c r="I104" s="15">
        <f>E104*'Параметры'!$C$16</f>
        <v/>
      </c>
      <c r="J104" s="15">
        <f>'Параметры'!$C$27</f>
        <v/>
      </c>
      <c r="K104" s="15">
        <f>MAX(0,'Параметры'!$C$20-'Параметры'!$C$27*MAX(0,A104-'Параметры'!$C$11-1))*'Параметры'!$C$15/12</f>
        <v/>
      </c>
      <c r="L104" s="15">
        <f>E104-I104-J104-K104</f>
        <v/>
      </c>
      <c r="M104" s="15">
        <f>T103*'Параметры'!$C$10/12</f>
        <v/>
      </c>
      <c r="N104" s="15">
        <f>L104-M104</f>
        <v/>
      </c>
      <c r="O104" s="15">
        <f>MAX(0,N104*'Параметры'!$C$14)</f>
        <v/>
      </c>
      <c r="P104" s="15">
        <f>N104-O104</f>
        <v/>
      </c>
      <c r="Q104" s="15" t="n">
        <v>0</v>
      </c>
      <c r="R104" s="15" t="n">
        <v>0</v>
      </c>
      <c r="S104" s="15">
        <f>MAX(0,MIN('Параметры'!$C$26-M104,T103))</f>
        <v/>
      </c>
      <c r="T104" s="15">
        <f>MAX(0,T103-S104)</f>
        <v/>
      </c>
      <c r="U104" s="15">
        <f>P104+J104-S104-H104</f>
        <v/>
      </c>
      <c r="V104" s="15">
        <f>V103+U104</f>
        <v/>
      </c>
    </row>
    <row r="105">
      <c r="A105" s="16" t="n">
        <v>104</v>
      </c>
      <c r="B105" s="16" t="inlineStr">
        <is>
          <t>01.03.2035</t>
        </is>
      </c>
      <c r="C105" s="17" t="inlineStr">
        <is>
          <t>Эксплуатация</t>
        </is>
      </c>
      <c r="D105" s="11">
        <f>'Параметры'!$C$4*'Параметры'!$C$7*(1+'Параметры'!$C$8)^INT((A105-'Параметры'!$C$11-1)/12)</f>
        <v/>
      </c>
      <c r="E105" s="11">
        <f>D105/(1+'Параметры'!$C$13)</f>
        <v/>
      </c>
      <c r="F105" s="11">
        <f>D105-E105</f>
        <v/>
      </c>
      <c r="G105" s="11">
        <f>IF(AND(A105&gt;'Параметры'!$C$11,A105&lt;='Параметры'!$C$11+3),'Параметры'!$C$28,0)</f>
        <v/>
      </c>
      <c r="H105" s="11">
        <f>F105-G105</f>
        <v/>
      </c>
      <c r="I105" s="11">
        <f>E105*'Параметры'!$C$16</f>
        <v/>
      </c>
      <c r="J105" s="11">
        <f>'Параметры'!$C$27</f>
        <v/>
      </c>
      <c r="K105" s="11">
        <f>MAX(0,'Параметры'!$C$20-'Параметры'!$C$27*MAX(0,A105-'Параметры'!$C$11-1))*'Параметры'!$C$15/12</f>
        <v/>
      </c>
      <c r="L105" s="11">
        <f>E105-I105-J105-K105</f>
        <v/>
      </c>
      <c r="M105" s="11">
        <f>T104*'Параметры'!$C$10/12</f>
        <v/>
      </c>
      <c r="N105" s="11">
        <f>L105-M105</f>
        <v/>
      </c>
      <c r="O105" s="11">
        <f>MAX(0,N105*'Параметры'!$C$14)</f>
        <v/>
      </c>
      <c r="P105" s="11">
        <f>N105-O105</f>
        <v/>
      </c>
      <c r="Q105" s="11" t="n">
        <v>0</v>
      </c>
      <c r="R105" s="11" t="n">
        <v>0</v>
      </c>
      <c r="S105" s="11">
        <f>MAX(0,MIN('Параметры'!$C$26-M105,T104))</f>
        <v/>
      </c>
      <c r="T105" s="11">
        <f>MAX(0,T104-S105)</f>
        <v/>
      </c>
      <c r="U105" s="11">
        <f>P105+J105-S105-H105</f>
        <v/>
      </c>
      <c r="V105" s="11">
        <f>V104+U105</f>
        <v/>
      </c>
    </row>
    <row r="106">
      <c r="A106" s="13" t="n">
        <v>105</v>
      </c>
      <c r="B106" s="13" t="inlineStr">
        <is>
          <t>01.04.2035</t>
        </is>
      </c>
      <c r="C106" s="14" t="inlineStr">
        <is>
          <t>Эксплуатация</t>
        </is>
      </c>
      <c r="D106" s="15">
        <f>'Параметры'!$C$4*'Параметры'!$C$7*(1+'Параметры'!$C$8)^INT((A106-'Параметры'!$C$11-1)/12)</f>
        <v/>
      </c>
      <c r="E106" s="15">
        <f>D106/(1+'Параметры'!$C$13)</f>
        <v/>
      </c>
      <c r="F106" s="15">
        <f>D106-E106</f>
        <v/>
      </c>
      <c r="G106" s="15">
        <f>IF(AND(A106&gt;'Параметры'!$C$11,A106&lt;='Параметры'!$C$11+3),'Параметры'!$C$28,0)</f>
        <v/>
      </c>
      <c r="H106" s="15">
        <f>F106-G106</f>
        <v/>
      </c>
      <c r="I106" s="15">
        <f>E106*'Параметры'!$C$16</f>
        <v/>
      </c>
      <c r="J106" s="15">
        <f>'Параметры'!$C$27</f>
        <v/>
      </c>
      <c r="K106" s="15">
        <f>MAX(0,'Параметры'!$C$20-'Параметры'!$C$27*MAX(0,A106-'Параметры'!$C$11-1))*'Параметры'!$C$15/12</f>
        <v/>
      </c>
      <c r="L106" s="15">
        <f>E106-I106-J106-K106</f>
        <v/>
      </c>
      <c r="M106" s="15">
        <f>T105*'Параметры'!$C$10/12</f>
        <v/>
      </c>
      <c r="N106" s="15">
        <f>L106-M106</f>
        <v/>
      </c>
      <c r="O106" s="15">
        <f>MAX(0,N106*'Параметры'!$C$14)</f>
        <v/>
      </c>
      <c r="P106" s="15">
        <f>N106-O106</f>
        <v/>
      </c>
      <c r="Q106" s="15" t="n">
        <v>0</v>
      </c>
      <c r="R106" s="15" t="n">
        <v>0</v>
      </c>
      <c r="S106" s="15">
        <f>MAX(0,MIN('Параметры'!$C$26-M106,T105))</f>
        <v/>
      </c>
      <c r="T106" s="15">
        <f>MAX(0,T105-S106)</f>
        <v/>
      </c>
      <c r="U106" s="15">
        <f>P106+J106-S106-H106</f>
        <v/>
      </c>
      <c r="V106" s="15">
        <f>V105+U106</f>
        <v/>
      </c>
    </row>
    <row r="107">
      <c r="A107" s="16" t="n">
        <v>106</v>
      </c>
      <c r="B107" s="16" t="inlineStr">
        <is>
          <t>01.05.2035</t>
        </is>
      </c>
      <c r="C107" s="17" t="inlineStr">
        <is>
          <t>Эксплуатация</t>
        </is>
      </c>
      <c r="D107" s="11">
        <f>'Параметры'!$C$4*'Параметры'!$C$7*(1+'Параметры'!$C$8)^INT((A107-'Параметры'!$C$11-1)/12)</f>
        <v/>
      </c>
      <c r="E107" s="11">
        <f>D107/(1+'Параметры'!$C$13)</f>
        <v/>
      </c>
      <c r="F107" s="11">
        <f>D107-E107</f>
        <v/>
      </c>
      <c r="G107" s="11">
        <f>IF(AND(A107&gt;'Параметры'!$C$11,A107&lt;='Параметры'!$C$11+3),'Параметры'!$C$28,0)</f>
        <v/>
      </c>
      <c r="H107" s="11">
        <f>F107-G107</f>
        <v/>
      </c>
      <c r="I107" s="11">
        <f>E107*'Параметры'!$C$16</f>
        <v/>
      </c>
      <c r="J107" s="11">
        <f>'Параметры'!$C$27</f>
        <v/>
      </c>
      <c r="K107" s="11">
        <f>MAX(0,'Параметры'!$C$20-'Параметры'!$C$27*MAX(0,A107-'Параметры'!$C$11-1))*'Параметры'!$C$15/12</f>
        <v/>
      </c>
      <c r="L107" s="11">
        <f>E107-I107-J107-K107</f>
        <v/>
      </c>
      <c r="M107" s="11">
        <f>T106*'Параметры'!$C$10/12</f>
        <v/>
      </c>
      <c r="N107" s="11">
        <f>L107-M107</f>
        <v/>
      </c>
      <c r="O107" s="11">
        <f>MAX(0,N107*'Параметры'!$C$14)</f>
        <v/>
      </c>
      <c r="P107" s="11">
        <f>N107-O107</f>
        <v/>
      </c>
      <c r="Q107" s="11" t="n">
        <v>0</v>
      </c>
      <c r="R107" s="11" t="n">
        <v>0</v>
      </c>
      <c r="S107" s="11">
        <f>MAX(0,MIN('Параметры'!$C$26-M107,T106))</f>
        <v/>
      </c>
      <c r="T107" s="11">
        <f>MAX(0,T106-S107)</f>
        <v/>
      </c>
      <c r="U107" s="11">
        <f>P107+J107-S107-H107</f>
        <v/>
      </c>
      <c r="V107" s="11">
        <f>V106+U107</f>
        <v/>
      </c>
    </row>
    <row r="108">
      <c r="A108" s="13" t="n">
        <v>107</v>
      </c>
      <c r="B108" s="13" t="inlineStr">
        <is>
          <t>01.06.2035</t>
        </is>
      </c>
      <c r="C108" s="14" t="inlineStr">
        <is>
          <t>Эксплуатация</t>
        </is>
      </c>
      <c r="D108" s="15">
        <f>'Параметры'!$C$4*'Параметры'!$C$7*(1+'Параметры'!$C$8)^INT((A108-'Параметры'!$C$11-1)/12)</f>
        <v/>
      </c>
      <c r="E108" s="15">
        <f>D108/(1+'Параметры'!$C$13)</f>
        <v/>
      </c>
      <c r="F108" s="15">
        <f>D108-E108</f>
        <v/>
      </c>
      <c r="G108" s="15">
        <f>IF(AND(A108&gt;'Параметры'!$C$11,A108&lt;='Параметры'!$C$11+3),'Параметры'!$C$28,0)</f>
        <v/>
      </c>
      <c r="H108" s="15">
        <f>F108-G108</f>
        <v/>
      </c>
      <c r="I108" s="15">
        <f>E108*'Параметры'!$C$16</f>
        <v/>
      </c>
      <c r="J108" s="15">
        <f>'Параметры'!$C$27</f>
        <v/>
      </c>
      <c r="K108" s="15">
        <f>MAX(0,'Параметры'!$C$20-'Параметры'!$C$27*MAX(0,A108-'Параметры'!$C$11-1))*'Параметры'!$C$15/12</f>
        <v/>
      </c>
      <c r="L108" s="15">
        <f>E108-I108-J108-K108</f>
        <v/>
      </c>
      <c r="M108" s="15">
        <f>T107*'Параметры'!$C$10/12</f>
        <v/>
      </c>
      <c r="N108" s="15">
        <f>L108-M108</f>
        <v/>
      </c>
      <c r="O108" s="15">
        <f>MAX(0,N108*'Параметры'!$C$14)</f>
        <v/>
      </c>
      <c r="P108" s="15">
        <f>N108-O108</f>
        <v/>
      </c>
      <c r="Q108" s="15" t="n">
        <v>0</v>
      </c>
      <c r="R108" s="15" t="n">
        <v>0</v>
      </c>
      <c r="S108" s="15">
        <f>MAX(0,MIN('Параметры'!$C$26-M108,T107))</f>
        <v/>
      </c>
      <c r="T108" s="15">
        <f>MAX(0,T107-S108)</f>
        <v/>
      </c>
      <c r="U108" s="15">
        <f>P108+J108-S108-H108</f>
        <v/>
      </c>
      <c r="V108" s="15">
        <f>V107+U108</f>
        <v/>
      </c>
    </row>
    <row r="109">
      <c r="A109" s="16" t="n">
        <v>108</v>
      </c>
      <c r="B109" s="16" t="inlineStr">
        <is>
          <t>01.07.2035</t>
        </is>
      </c>
      <c r="C109" s="17" t="inlineStr">
        <is>
          <t>Эксплуатация</t>
        </is>
      </c>
      <c r="D109" s="11">
        <f>'Параметры'!$C$4*'Параметры'!$C$7*(1+'Параметры'!$C$8)^INT((A109-'Параметры'!$C$11-1)/12)</f>
        <v/>
      </c>
      <c r="E109" s="11">
        <f>D109/(1+'Параметры'!$C$13)</f>
        <v/>
      </c>
      <c r="F109" s="11">
        <f>D109-E109</f>
        <v/>
      </c>
      <c r="G109" s="11">
        <f>IF(AND(A109&gt;'Параметры'!$C$11,A109&lt;='Параметры'!$C$11+3),'Параметры'!$C$28,0)</f>
        <v/>
      </c>
      <c r="H109" s="11">
        <f>F109-G109</f>
        <v/>
      </c>
      <c r="I109" s="11">
        <f>E109*'Параметры'!$C$16</f>
        <v/>
      </c>
      <c r="J109" s="11">
        <f>'Параметры'!$C$27</f>
        <v/>
      </c>
      <c r="K109" s="11">
        <f>MAX(0,'Параметры'!$C$20-'Параметры'!$C$27*MAX(0,A109-'Параметры'!$C$11-1))*'Параметры'!$C$15/12</f>
        <v/>
      </c>
      <c r="L109" s="11">
        <f>E109-I109-J109-K109</f>
        <v/>
      </c>
      <c r="M109" s="11">
        <f>T108*'Параметры'!$C$10/12</f>
        <v/>
      </c>
      <c r="N109" s="11">
        <f>L109-M109</f>
        <v/>
      </c>
      <c r="O109" s="11">
        <f>MAX(0,N109*'Параметры'!$C$14)</f>
        <v/>
      </c>
      <c r="P109" s="11">
        <f>N109-O109</f>
        <v/>
      </c>
      <c r="Q109" s="11" t="n">
        <v>0</v>
      </c>
      <c r="R109" s="11" t="n">
        <v>0</v>
      </c>
      <c r="S109" s="11">
        <f>MAX(0,MIN('Параметры'!$C$26-M109,T108))</f>
        <v/>
      </c>
      <c r="T109" s="11">
        <f>MAX(0,T108-S109)</f>
        <v/>
      </c>
      <c r="U109" s="11">
        <f>P109+J109-S109-H109</f>
        <v/>
      </c>
      <c r="V109" s="11">
        <f>V108+U109</f>
        <v/>
      </c>
    </row>
    <row r="110">
      <c r="A110" s="13" t="n">
        <v>109</v>
      </c>
      <c r="B110" s="13" t="inlineStr">
        <is>
          <t>01.08.2035</t>
        </is>
      </c>
      <c r="C110" s="14" t="inlineStr">
        <is>
          <t>Эксплуатация</t>
        </is>
      </c>
      <c r="D110" s="15">
        <f>'Параметры'!$C$4*'Параметры'!$C$7*(1+'Параметры'!$C$8)^INT((A110-'Параметры'!$C$11-1)/12)</f>
        <v/>
      </c>
      <c r="E110" s="15">
        <f>D110/(1+'Параметры'!$C$13)</f>
        <v/>
      </c>
      <c r="F110" s="15">
        <f>D110-E110</f>
        <v/>
      </c>
      <c r="G110" s="15">
        <f>IF(AND(A110&gt;'Параметры'!$C$11,A110&lt;='Параметры'!$C$11+3),'Параметры'!$C$28,0)</f>
        <v/>
      </c>
      <c r="H110" s="15">
        <f>F110-G110</f>
        <v/>
      </c>
      <c r="I110" s="15">
        <f>E110*'Параметры'!$C$16</f>
        <v/>
      </c>
      <c r="J110" s="15">
        <f>'Параметры'!$C$27</f>
        <v/>
      </c>
      <c r="K110" s="15">
        <f>MAX(0,'Параметры'!$C$20-'Параметры'!$C$27*MAX(0,A110-'Параметры'!$C$11-1))*'Параметры'!$C$15/12</f>
        <v/>
      </c>
      <c r="L110" s="15">
        <f>E110-I110-J110-K110</f>
        <v/>
      </c>
      <c r="M110" s="15">
        <f>T109*'Параметры'!$C$10/12</f>
        <v/>
      </c>
      <c r="N110" s="15">
        <f>L110-M110</f>
        <v/>
      </c>
      <c r="O110" s="15">
        <f>MAX(0,N110*'Параметры'!$C$14)</f>
        <v/>
      </c>
      <c r="P110" s="15">
        <f>N110-O110</f>
        <v/>
      </c>
      <c r="Q110" s="15" t="n">
        <v>0</v>
      </c>
      <c r="R110" s="15" t="n">
        <v>0</v>
      </c>
      <c r="S110" s="15">
        <f>MAX(0,MIN('Параметры'!$C$26-M110,T109))</f>
        <v/>
      </c>
      <c r="T110" s="15">
        <f>MAX(0,T109-S110)</f>
        <v/>
      </c>
      <c r="U110" s="15">
        <f>P110+J110-S110-H110</f>
        <v/>
      </c>
      <c r="V110" s="15">
        <f>V109+U110</f>
        <v/>
      </c>
    </row>
    <row r="111">
      <c r="A111" s="16" t="n">
        <v>110</v>
      </c>
      <c r="B111" s="16" t="inlineStr">
        <is>
          <t>01.09.2035</t>
        </is>
      </c>
      <c r="C111" s="17" t="inlineStr">
        <is>
          <t>Эксплуатация</t>
        </is>
      </c>
      <c r="D111" s="11">
        <f>'Параметры'!$C$4*'Параметры'!$C$7*(1+'Параметры'!$C$8)^INT((A111-'Параметры'!$C$11-1)/12)</f>
        <v/>
      </c>
      <c r="E111" s="11">
        <f>D111/(1+'Параметры'!$C$13)</f>
        <v/>
      </c>
      <c r="F111" s="11">
        <f>D111-E111</f>
        <v/>
      </c>
      <c r="G111" s="11">
        <f>IF(AND(A111&gt;'Параметры'!$C$11,A111&lt;='Параметры'!$C$11+3),'Параметры'!$C$28,0)</f>
        <v/>
      </c>
      <c r="H111" s="11">
        <f>F111-G111</f>
        <v/>
      </c>
      <c r="I111" s="11">
        <f>E111*'Параметры'!$C$16</f>
        <v/>
      </c>
      <c r="J111" s="11">
        <f>'Параметры'!$C$27</f>
        <v/>
      </c>
      <c r="K111" s="11">
        <f>MAX(0,'Параметры'!$C$20-'Параметры'!$C$27*MAX(0,A111-'Параметры'!$C$11-1))*'Параметры'!$C$15/12</f>
        <v/>
      </c>
      <c r="L111" s="11">
        <f>E111-I111-J111-K111</f>
        <v/>
      </c>
      <c r="M111" s="11">
        <f>T110*'Параметры'!$C$10/12</f>
        <v/>
      </c>
      <c r="N111" s="11">
        <f>L111-M111</f>
        <v/>
      </c>
      <c r="O111" s="11">
        <f>MAX(0,N111*'Параметры'!$C$14)</f>
        <v/>
      </c>
      <c r="P111" s="11">
        <f>N111-O111</f>
        <v/>
      </c>
      <c r="Q111" s="11" t="n">
        <v>0</v>
      </c>
      <c r="R111" s="11" t="n">
        <v>0</v>
      </c>
      <c r="S111" s="11">
        <f>MAX(0,MIN('Параметры'!$C$26-M111,T110))</f>
        <v/>
      </c>
      <c r="T111" s="11">
        <f>MAX(0,T110-S111)</f>
        <v/>
      </c>
      <c r="U111" s="11">
        <f>P111+J111-S111-H111</f>
        <v/>
      </c>
      <c r="V111" s="11">
        <f>V110+U111</f>
        <v/>
      </c>
    </row>
    <row r="112">
      <c r="A112" s="13" t="n">
        <v>111</v>
      </c>
      <c r="B112" s="13" t="inlineStr">
        <is>
          <t>01.10.2035</t>
        </is>
      </c>
      <c r="C112" s="14" t="inlineStr">
        <is>
          <t>Эксплуатация</t>
        </is>
      </c>
      <c r="D112" s="15">
        <f>'Параметры'!$C$4*'Параметры'!$C$7*(1+'Параметры'!$C$8)^INT((A112-'Параметры'!$C$11-1)/12)</f>
        <v/>
      </c>
      <c r="E112" s="15">
        <f>D112/(1+'Параметры'!$C$13)</f>
        <v/>
      </c>
      <c r="F112" s="15">
        <f>D112-E112</f>
        <v/>
      </c>
      <c r="G112" s="15">
        <f>IF(AND(A112&gt;'Параметры'!$C$11,A112&lt;='Параметры'!$C$11+3),'Параметры'!$C$28,0)</f>
        <v/>
      </c>
      <c r="H112" s="15">
        <f>F112-G112</f>
        <v/>
      </c>
      <c r="I112" s="15">
        <f>E112*'Параметры'!$C$16</f>
        <v/>
      </c>
      <c r="J112" s="15">
        <f>'Параметры'!$C$27</f>
        <v/>
      </c>
      <c r="K112" s="15">
        <f>MAX(0,'Параметры'!$C$20-'Параметры'!$C$27*MAX(0,A112-'Параметры'!$C$11-1))*'Параметры'!$C$15/12</f>
        <v/>
      </c>
      <c r="L112" s="15">
        <f>E112-I112-J112-K112</f>
        <v/>
      </c>
      <c r="M112" s="15">
        <f>T111*'Параметры'!$C$10/12</f>
        <v/>
      </c>
      <c r="N112" s="15">
        <f>L112-M112</f>
        <v/>
      </c>
      <c r="O112" s="15">
        <f>MAX(0,N112*'Параметры'!$C$14)</f>
        <v/>
      </c>
      <c r="P112" s="15">
        <f>N112-O112</f>
        <v/>
      </c>
      <c r="Q112" s="15" t="n">
        <v>0</v>
      </c>
      <c r="R112" s="15" t="n">
        <v>0</v>
      </c>
      <c r="S112" s="15">
        <f>MAX(0,MIN('Параметры'!$C$26-M112,T111))</f>
        <v/>
      </c>
      <c r="T112" s="15">
        <f>MAX(0,T111-S112)</f>
        <v/>
      </c>
      <c r="U112" s="15">
        <f>P112+J112-S112-H112</f>
        <v/>
      </c>
      <c r="V112" s="15">
        <f>V111+U112</f>
        <v/>
      </c>
    </row>
    <row r="113">
      <c r="A113" s="16" t="n">
        <v>112</v>
      </c>
      <c r="B113" s="16" t="inlineStr">
        <is>
          <t>01.11.2035</t>
        </is>
      </c>
      <c r="C113" s="17" t="inlineStr">
        <is>
          <t>Эксплуатация</t>
        </is>
      </c>
      <c r="D113" s="11">
        <f>'Параметры'!$C$4*'Параметры'!$C$7*(1+'Параметры'!$C$8)^INT((A113-'Параметры'!$C$11-1)/12)</f>
        <v/>
      </c>
      <c r="E113" s="11">
        <f>D113/(1+'Параметры'!$C$13)</f>
        <v/>
      </c>
      <c r="F113" s="11">
        <f>D113-E113</f>
        <v/>
      </c>
      <c r="G113" s="11">
        <f>IF(AND(A113&gt;'Параметры'!$C$11,A113&lt;='Параметры'!$C$11+3),'Параметры'!$C$28,0)</f>
        <v/>
      </c>
      <c r="H113" s="11">
        <f>F113-G113</f>
        <v/>
      </c>
      <c r="I113" s="11">
        <f>E113*'Параметры'!$C$16</f>
        <v/>
      </c>
      <c r="J113" s="11">
        <f>'Параметры'!$C$27</f>
        <v/>
      </c>
      <c r="K113" s="11">
        <f>MAX(0,'Параметры'!$C$20-'Параметры'!$C$27*MAX(0,A113-'Параметры'!$C$11-1))*'Параметры'!$C$15/12</f>
        <v/>
      </c>
      <c r="L113" s="11">
        <f>E113-I113-J113-K113</f>
        <v/>
      </c>
      <c r="M113" s="11">
        <f>T112*'Параметры'!$C$10/12</f>
        <v/>
      </c>
      <c r="N113" s="11">
        <f>L113-M113</f>
        <v/>
      </c>
      <c r="O113" s="11">
        <f>MAX(0,N113*'Параметры'!$C$14)</f>
        <v/>
      </c>
      <c r="P113" s="11">
        <f>N113-O113</f>
        <v/>
      </c>
      <c r="Q113" s="11" t="n">
        <v>0</v>
      </c>
      <c r="R113" s="11" t="n">
        <v>0</v>
      </c>
      <c r="S113" s="11">
        <f>MAX(0,MIN('Параметры'!$C$26-M113,T112))</f>
        <v/>
      </c>
      <c r="T113" s="11">
        <f>MAX(0,T112-S113)</f>
        <v/>
      </c>
      <c r="U113" s="11">
        <f>P113+J113-S113-H113</f>
        <v/>
      </c>
      <c r="V113" s="11">
        <f>V112+U113</f>
        <v/>
      </c>
    </row>
    <row r="114">
      <c r="A114" s="13" t="n">
        <v>113</v>
      </c>
      <c r="B114" s="13" t="inlineStr">
        <is>
          <t>01.12.2035</t>
        </is>
      </c>
      <c r="C114" s="14" t="inlineStr">
        <is>
          <t>Эксплуатация</t>
        </is>
      </c>
      <c r="D114" s="15">
        <f>'Параметры'!$C$4*'Параметры'!$C$7*(1+'Параметры'!$C$8)^INT((A114-'Параметры'!$C$11-1)/12)</f>
        <v/>
      </c>
      <c r="E114" s="15">
        <f>D114/(1+'Параметры'!$C$13)</f>
        <v/>
      </c>
      <c r="F114" s="15">
        <f>D114-E114</f>
        <v/>
      </c>
      <c r="G114" s="15">
        <f>IF(AND(A114&gt;'Параметры'!$C$11,A114&lt;='Параметры'!$C$11+3),'Параметры'!$C$28,0)</f>
        <v/>
      </c>
      <c r="H114" s="15">
        <f>F114-G114</f>
        <v/>
      </c>
      <c r="I114" s="15">
        <f>E114*'Параметры'!$C$16</f>
        <v/>
      </c>
      <c r="J114" s="15">
        <f>'Параметры'!$C$27</f>
        <v/>
      </c>
      <c r="K114" s="15">
        <f>MAX(0,'Параметры'!$C$20-'Параметры'!$C$27*MAX(0,A114-'Параметры'!$C$11-1))*'Параметры'!$C$15/12</f>
        <v/>
      </c>
      <c r="L114" s="15">
        <f>E114-I114-J114-K114</f>
        <v/>
      </c>
      <c r="M114" s="15">
        <f>T113*'Параметры'!$C$10/12</f>
        <v/>
      </c>
      <c r="N114" s="15">
        <f>L114-M114</f>
        <v/>
      </c>
      <c r="O114" s="15">
        <f>MAX(0,N114*'Параметры'!$C$14)</f>
        <v/>
      </c>
      <c r="P114" s="15">
        <f>N114-O114</f>
        <v/>
      </c>
      <c r="Q114" s="15" t="n">
        <v>0</v>
      </c>
      <c r="R114" s="15" t="n">
        <v>0</v>
      </c>
      <c r="S114" s="15">
        <f>MAX(0,MIN('Параметры'!$C$26-M114,T113))</f>
        <v/>
      </c>
      <c r="T114" s="15">
        <f>MAX(0,T113-S114)</f>
        <v/>
      </c>
      <c r="U114" s="15">
        <f>P114+J114-S114-H114</f>
        <v/>
      </c>
      <c r="V114" s="15">
        <f>V113+U114</f>
        <v/>
      </c>
    </row>
    <row r="115">
      <c r="A115" s="16" t="n">
        <v>114</v>
      </c>
      <c r="B115" s="16" t="inlineStr">
        <is>
          <t>01.01.2036</t>
        </is>
      </c>
      <c r="C115" s="17" t="inlineStr">
        <is>
          <t>Эксплуатация</t>
        </is>
      </c>
      <c r="D115" s="11">
        <f>'Параметры'!$C$4*'Параметры'!$C$7*(1+'Параметры'!$C$8)^INT((A115-'Параметры'!$C$11-1)/12)</f>
        <v/>
      </c>
      <c r="E115" s="11">
        <f>D115/(1+'Параметры'!$C$13)</f>
        <v/>
      </c>
      <c r="F115" s="11">
        <f>D115-E115</f>
        <v/>
      </c>
      <c r="G115" s="11">
        <f>IF(AND(A115&gt;'Параметры'!$C$11,A115&lt;='Параметры'!$C$11+3),'Параметры'!$C$28,0)</f>
        <v/>
      </c>
      <c r="H115" s="11">
        <f>F115-G115</f>
        <v/>
      </c>
      <c r="I115" s="11">
        <f>E115*'Параметры'!$C$16</f>
        <v/>
      </c>
      <c r="J115" s="11">
        <f>'Параметры'!$C$27</f>
        <v/>
      </c>
      <c r="K115" s="11">
        <f>MAX(0,'Параметры'!$C$20-'Параметры'!$C$27*MAX(0,A115-'Параметры'!$C$11-1))*'Параметры'!$C$15/12</f>
        <v/>
      </c>
      <c r="L115" s="11">
        <f>E115-I115-J115-K115</f>
        <v/>
      </c>
      <c r="M115" s="11">
        <f>T114*'Параметры'!$C$10/12</f>
        <v/>
      </c>
      <c r="N115" s="11">
        <f>L115-M115</f>
        <v/>
      </c>
      <c r="O115" s="11">
        <f>MAX(0,N115*'Параметры'!$C$14)</f>
        <v/>
      </c>
      <c r="P115" s="11">
        <f>N115-O115</f>
        <v/>
      </c>
      <c r="Q115" s="11" t="n">
        <v>0</v>
      </c>
      <c r="R115" s="11" t="n">
        <v>0</v>
      </c>
      <c r="S115" s="11">
        <f>MAX(0,MIN('Параметры'!$C$26-M115,T114))</f>
        <v/>
      </c>
      <c r="T115" s="11">
        <f>MAX(0,T114-S115)</f>
        <v/>
      </c>
      <c r="U115" s="11">
        <f>P115+J115-S115-H115</f>
        <v/>
      </c>
      <c r="V115" s="11">
        <f>V114+U115</f>
        <v/>
      </c>
    </row>
    <row r="116">
      <c r="A116" s="13" t="n">
        <v>115</v>
      </c>
      <c r="B116" s="13" t="inlineStr">
        <is>
          <t>01.02.2036</t>
        </is>
      </c>
      <c r="C116" s="14" t="inlineStr">
        <is>
          <t>Эксплуатация</t>
        </is>
      </c>
      <c r="D116" s="15">
        <f>'Параметры'!$C$4*'Параметры'!$C$7*(1+'Параметры'!$C$8)^INT((A116-'Параметры'!$C$11-1)/12)</f>
        <v/>
      </c>
      <c r="E116" s="15">
        <f>D116/(1+'Параметры'!$C$13)</f>
        <v/>
      </c>
      <c r="F116" s="15">
        <f>D116-E116</f>
        <v/>
      </c>
      <c r="G116" s="15">
        <f>IF(AND(A116&gt;'Параметры'!$C$11,A116&lt;='Параметры'!$C$11+3),'Параметры'!$C$28,0)</f>
        <v/>
      </c>
      <c r="H116" s="15">
        <f>F116-G116</f>
        <v/>
      </c>
      <c r="I116" s="15">
        <f>E116*'Параметры'!$C$16</f>
        <v/>
      </c>
      <c r="J116" s="15">
        <f>'Параметры'!$C$27</f>
        <v/>
      </c>
      <c r="K116" s="15">
        <f>MAX(0,'Параметры'!$C$20-'Параметры'!$C$27*MAX(0,A116-'Параметры'!$C$11-1))*'Параметры'!$C$15/12</f>
        <v/>
      </c>
      <c r="L116" s="15">
        <f>E116-I116-J116-K116</f>
        <v/>
      </c>
      <c r="M116" s="15">
        <f>T115*'Параметры'!$C$10/12</f>
        <v/>
      </c>
      <c r="N116" s="15">
        <f>L116-M116</f>
        <v/>
      </c>
      <c r="O116" s="15">
        <f>MAX(0,N116*'Параметры'!$C$14)</f>
        <v/>
      </c>
      <c r="P116" s="15">
        <f>N116-O116</f>
        <v/>
      </c>
      <c r="Q116" s="15" t="n">
        <v>0</v>
      </c>
      <c r="R116" s="15" t="n">
        <v>0</v>
      </c>
      <c r="S116" s="15">
        <f>MAX(0,MIN('Параметры'!$C$26-M116,T115))</f>
        <v/>
      </c>
      <c r="T116" s="15">
        <f>MAX(0,T115-S116)</f>
        <v/>
      </c>
      <c r="U116" s="15">
        <f>P116+J116-S116-H116</f>
        <v/>
      </c>
      <c r="V116" s="15">
        <f>V115+U116</f>
        <v/>
      </c>
    </row>
    <row r="117">
      <c r="A117" s="16" t="n">
        <v>116</v>
      </c>
      <c r="B117" s="16" t="inlineStr">
        <is>
          <t>01.03.2036</t>
        </is>
      </c>
      <c r="C117" s="17" t="inlineStr">
        <is>
          <t>Эксплуатация</t>
        </is>
      </c>
      <c r="D117" s="11">
        <f>'Параметры'!$C$4*'Параметры'!$C$7*(1+'Параметры'!$C$8)^INT((A117-'Параметры'!$C$11-1)/12)</f>
        <v/>
      </c>
      <c r="E117" s="11">
        <f>D117/(1+'Параметры'!$C$13)</f>
        <v/>
      </c>
      <c r="F117" s="11">
        <f>D117-E117</f>
        <v/>
      </c>
      <c r="G117" s="11">
        <f>IF(AND(A117&gt;'Параметры'!$C$11,A117&lt;='Параметры'!$C$11+3),'Параметры'!$C$28,0)</f>
        <v/>
      </c>
      <c r="H117" s="11">
        <f>F117-G117</f>
        <v/>
      </c>
      <c r="I117" s="11">
        <f>E117*'Параметры'!$C$16</f>
        <v/>
      </c>
      <c r="J117" s="11">
        <f>'Параметры'!$C$27</f>
        <v/>
      </c>
      <c r="K117" s="11">
        <f>MAX(0,'Параметры'!$C$20-'Параметры'!$C$27*MAX(0,A117-'Параметры'!$C$11-1))*'Параметры'!$C$15/12</f>
        <v/>
      </c>
      <c r="L117" s="11">
        <f>E117-I117-J117-K117</f>
        <v/>
      </c>
      <c r="M117" s="11">
        <f>T116*'Параметры'!$C$10/12</f>
        <v/>
      </c>
      <c r="N117" s="11">
        <f>L117-M117</f>
        <v/>
      </c>
      <c r="O117" s="11">
        <f>MAX(0,N117*'Параметры'!$C$14)</f>
        <v/>
      </c>
      <c r="P117" s="11">
        <f>N117-O117</f>
        <v/>
      </c>
      <c r="Q117" s="11" t="n">
        <v>0</v>
      </c>
      <c r="R117" s="11" t="n">
        <v>0</v>
      </c>
      <c r="S117" s="11">
        <f>MAX(0,MIN('Параметры'!$C$26-M117,T116))</f>
        <v/>
      </c>
      <c r="T117" s="11">
        <f>MAX(0,T116-S117)</f>
        <v/>
      </c>
      <c r="U117" s="11">
        <f>P117+J117-S117-H117</f>
        <v/>
      </c>
      <c r="V117" s="11">
        <f>V116+U117</f>
        <v/>
      </c>
    </row>
    <row r="118">
      <c r="A118" s="13" t="n">
        <v>117</v>
      </c>
      <c r="B118" s="13" t="inlineStr">
        <is>
          <t>01.04.2036</t>
        </is>
      </c>
      <c r="C118" s="14" t="inlineStr">
        <is>
          <t>Эксплуатация</t>
        </is>
      </c>
      <c r="D118" s="15">
        <f>'Параметры'!$C$4*'Параметры'!$C$7*(1+'Параметры'!$C$8)^INT((A118-'Параметры'!$C$11-1)/12)</f>
        <v/>
      </c>
      <c r="E118" s="15">
        <f>D118/(1+'Параметры'!$C$13)</f>
        <v/>
      </c>
      <c r="F118" s="15">
        <f>D118-E118</f>
        <v/>
      </c>
      <c r="G118" s="15">
        <f>IF(AND(A118&gt;'Параметры'!$C$11,A118&lt;='Параметры'!$C$11+3),'Параметры'!$C$28,0)</f>
        <v/>
      </c>
      <c r="H118" s="15">
        <f>F118-G118</f>
        <v/>
      </c>
      <c r="I118" s="15">
        <f>E118*'Параметры'!$C$16</f>
        <v/>
      </c>
      <c r="J118" s="15">
        <f>'Параметры'!$C$27</f>
        <v/>
      </c>
      <c r="K118" s="15">
        <f>MAX(0,'Параметры'!$C$20-'Параметры'!$C$27*MAX(0,A118-'Параметры'!$C$11-1))*'Параметры'!$C$15/12</f>
        <v/>
      </c>
      <c r="L118" s="15">
        <f>E118-I118-J118-K118</f>
        <v/>
      </c>
      <c r="M118" s="15">
        <f>T117*'Параметры'!$C$10/12</f>
        <v/>
      </c>
      <c r="N118" s="15">
        <f>L118-M118</f>
        <v/>
      </c>
      <c r="O118" s="15">
        <f>MAX(0,N118*'Параметры'!$C$14)</f>
        <v/>
      </c>
      <c r="P118" s="15">
        <f>N118-O118</f>
        <v/>
      </c>
      <c r="Q118" s="15" t="n">
        <v>0</v>
      </c>
      <c r="R118" s="15" t="n">
        <v>0</v>
      </c>
      <c r="S118" s="15">
        <f>MAX(0,MIN('Параметры'!$C$26-M118,T117))</f>
        <v/>
      </c>
      <c r="T118" s="15">
        <f>MAX(0,T117-S118)</f>
        <v/>
      </c>
      <c r="U118" s="15">
        <f>P118+J118-S118-H118</f>
        <v/>
      </c>
      <c r="V118" s="15">
        <f>V117+U118</f>
        <v/>
      </c>
    </row>
    <row r="119">
      <c r="A119" s="16" t="n">
        <v>118</v>
      </c>
      <c r="B119" s="16" t="inlineStr">
        <is>
          <t>01.05.2036</t>
        </is>
      </c>
      <c r="C119" s="17" t="inlineStr">
        <is>
          <t>Эксплуатация</t>
        </is>
      </c>
      <c r="D119" s="11">
        <f>'Параметры'!$C$4*'Параметры'!$C$7*(1+'Параметры'!$C$8)^INT((A119-'Параметры'!$C$11-1)/12)</f>
        <v/>
      </c>
      <c r="E119" s="11">
        <f>D119/(1+'Параметры'!$C$13)</f>
        <v/>
      </c>
      <c r="F119" s="11">
        <f>D119-E119</f>
        <v/>
      </c>
      <c r="G119" s="11">
        <f>IF(AND(A119&gt;'Параметры'!$C$11,A119&lt;='Параметры'!$C$11+3),'Параметры'!$C$28,0)</f>
        <v/>
      </c>
      <c r="H119" s="11">
        <f>F119-G119</f>
        <v/>
      </c>
      <c r="I119" s="11">
        <f>E119*'Параметры'!$C$16</f>
        <v/>
      </c>
      <c r="J119" s="11">
        <f>'Параметры'!$C$27</f>
        <v/>
      </c>
      <c r="K119" s="11">
        <f>MAX(0,'Параметры'!$C$20-'Параметры'!$C$27*MAX(0,A119-'Параметры'!$C$11-1))*'Параметры'!$C$15/12</f>
        <v/>
      </c>
      <c r="L119" s="11">
        <f>E119-I119-J119-K119</f>
        <v/>
      </c>
      <c r="M119" s="11">
        <f>T118*'Параметры'!$C$10/12</f>
        <v/>
      </c>
      <c r="N119" s="11">
        <f>L119-M119</f>
        <v/>
      </c>
      <c r="O119" s="11">
        <f>MAX(0,N119*'Параметры'!$C$14)</f>
        <v/>
      </c>
      <c r="P119" s="11">
        <f>N119-O119</f>
        <v/>
      </c>
      <c r="Q119" s="11" t="n">
        <v>0</v>
      </c>
      <c r="R119" s="11" t="n">
        <v>0</v>
      </c>
      <c r="S119" s="11">
        <f>MAX(0,MIN('Параметры'!$C$26-M119,T118))</f>
        <v/>
      </c>
      <c r="T119" s="11">
        <f>MAX(0,T118-S119)</f>
        <v/>
      </c>
      <c r="U119" s="11">
        <f>P119+J119-S119-H119</f>
        <v/>
      </c>
      <c r="V119" s="11">
        <f>V118+U119</f>
        <v/>
      </c>
    </row>
    <row r="120">
      <c r="A120" s="13" t="n">
        <v>119</v>
      </c>
      <c r="B120" s="13" t="inlineStr">
        <is>
          <t>01.06.2036</t>
        </is>
      </c>
      <c r="C120" s="14" t="inlineStr">
        <is>
          <t>Эксплуатация</t>
        </is>
      </c>
      <c r="D120" s="15">
        <f>'Параметры'!$C$4*'Параметры'!$C$7*(1+'Параметры'!$C$8)^INT((A120-'Параметры'!$C$11-1)/12)</f>
        <v/>
      </c>
      <c r="E120" s="15">
        <f>D120/(1+'Параметры'!$C$13)</f>
        <v/>
      </c>
      <c r="F120" s="15">
        <f>D120-E120</f>
        <v/>
      </c>
      <c r="G120" s="15">
        <f>IF(AND(A120&gt;'Параметры'!$C$11,A120&lt;='Параметры'!$C$11+3),'Параметры'!$C$28,0)</f>
        <v/>
      </c>
      <c r="H120" s="15">
        <f>F120-G120</f>
        <v/>
      </c>
      <c r="I120" s="15">
        <f>E120*'Параметры'!$C$16</f>
        <v/>
      </c>
      <c r="J120" s="15">
        <f>'Параметры'!$C$27</f>
        <v/>
      </c>
      <c r="K120" s="15">
        <f>MAX(0,'Параметры'!$C$20-'Параметры'!$C$27*MAX(0,A120-'Параметры'!$C$11-1))*'Параметры'!$C$15/12</f>
        <v/>
      </c>
      <c r="L120" s="15">
        <f>E120-I120-J120-K120</f>
        <v/>
      </c>
      <c r="M120" s="15">
        <f>T119*'Параметры'!$C$10/12</f>
        <v/>
      </c>
      <c r="N120" s="15">
        <f>L120-M120</f>
        <v/>
      </c>
      <c r="O120" s="15">
        <f>MAX(0,N120*'Параметры'!$C$14)</f>
        <v/>
      </c>
      <c r="P120" s="15">
        <f>N120-O120</f>
        <v/>
      </c>
      <c r="Q120" s="15" t="n">
        <v>0</v>
      </c>
      <c r="R120" s="15" t="n">
        <v>0</v>
      </c>
      <c r="S120" s="15">
        <f>MAX(0,MIN('Параметры'!$C$26-M120,T119))</f>
        <v/>
      </c>
      <c r="T120" s="15">
        <f>MAX(0,T119-S120)</f>
        <v/>
      </c>
      <c r="U120" s="15">
        <f>P120+J120-S120-H120</f>
        <v/>
      </c>
      <c r="V120" s="15">
        <f>V119+U120</f>
        <v/>
      </c>
    </row>
    <row r="121">
      <c r="A121" s="16" t="n">
        <v>120</v>
      </c>
      <c r="B121" s="16" t="inlineStr">
        <is>
          <t>01.07.2036</t>
        </is>
      </c>
      <c r="C121" s="17" t="inlineStr">
        <is>
          <t>Эксплуатация</t>
        </is>
      </c>
      <c r="D121" s="11">
        <f>'Параметры'!$C$4*'Параметры'!$C$7*(1+'Параметры'!$C$8)^INT((A121-'Параметры'!$C$11-1)/12)</f>
        <v/>
      </c>
      <c r="E121" s="11">
        <f>D121/(1+'Параметры'!$C$13)</f>
        <v/>
      </c>
      <c r="F121" s="11">
        <f>D121-E121</f>
        <v/>
      </c>
      <c r="G121" s="11">
        <f>IF(AND(A121&gt;'Параметры'!$C$11,A121&lt;='Параметры'!$C$11+3),'Параметры'!$C$28,0)</f>
        <v/>
      </c>
      <c r="H121" s="11">
        <f>F121-G121</f>
        <v/>
      </c>
      <c r="I121" s="11">
        <f>E121*'Параметры'!$C$16</f>
        <v/>
      </c>
      <c r="J121" s="11">
        <f>'Параметры'!$C$27</f>
        <v/>
      </c>
      <c r="K121" s="11">
        <f>MAX(0,'Параметры'!$C$20-'Параметры'!$C$27*MAX(0,A121-'Параметры'!$C$11-1))*'Параметры'!$C$15/12</f>
        <v/>
      </c>
      <c r="L121" s="11">
        <f>E121-I121-J121-K121</f>
        <v/>
      </c>
      <c r="M121" s="11">
        <f>T120*'Параметры'!$C$10/12</f>
        <v/>
      </c>
      <c r="N121" s="11">
        <f>L121-M121</f>
        <v/>
      </c>
      <c r="O121" s="11">
        <f>MAX(0,N121*'Параметры'!$C$14)</f>
        <v/>
      </c>
      <c r="P121" s="11">
        <f>N121-O121</f>
        <v/>
      </c>
      <c r="Q121" s="11" t="n">
        <v>0</v>
      </c>
      <c r="R121" s="11" t="n">
        <v>0</v>
      </c>
      <c r="S121" s="11">
        <f>MAX(0,MIN('Параметры'!$C$26-M121,T120))</f>
        <v/>
      </c>
      <c r="T121" s="11">
        <f>MAX(0,T120-S121)</f>
        <v/>
      </c>
      <c r="U121" s="11">
        <f>P121+J121-S121-H121</f>
        <v/>
      </c>
      <c r="V121" s="11">
        <f>V120+U121</f>
        <v/>
      </c>
    </row>
    <row r="122">
      <c r="A122" s="18" t="inlineStr">
        <is>
          <t>ИТОГО ЗА ГОРИЗОНТ</t>
        </is>
      </c>
      <c r="C122" s="19">
        <f>SUM(C2:C121)</f>
        <v/>
      </c>
      <c r="D122" s="19">
        <f>SUM(D2:D121)</f>
        <v/>
      </c>
      <c r="E122" s="19">
        <f>SUM(E2:E121)</f>
        <v/>
      </c>
      <c r="F122" s="19">
        <f>SUM(F2:F121)</f>
        <v/>
      </c>
      <c r="G122" s="19">
        <f>SUM(G2:G121)</f>
        <v/>
      </c>
      <c r="H122" s="19">
        <f>SUM(H2:H121)</f>
        <v/>
      </c>
      <c r="I122" s="19">
        <f>SUM(I2:I121)</f>
        <v/>
      </c>
      <c r="J122" s="19">
        <f>SUM(J2:J121)</f>
        <v/>
      </c>
      <c r="K122" s="19">
        <f>SUM(K2:K121)</f>
        <v/>
      </c>
      <c r="L122" s="19">
        <f>SUM(L2:L121)</f>
        <v/>
      </c>
      <c r="M122" s="19">
        <f>SUM(M2:M121)</f>
        <v/>
      </c>
      <c r="N122" s="19">
        <f>SUM(N2:N121)</f>
        <v/>
      </c>
      <c r="O122" s="19">
        <f>SUM(O2:O121)</f>
        <v/>
      </c>
      <c r="P122" s="19">
        <f>SUM(P2:P121)</f>
        <v/>
      </c>
      <c r="Q122" s="19">
        <f>SUM(Q2:Q121)</f>
        <v/>
      </c>
      <c r="R122" s="19">
        <f>SUM(R2:R121)</f>
        <v/>
      </c>
      <c r="S122" s="19">
        <f>SUM(S2:S121)</f>
        <v/>
      </c>
      <c r="T122" s="19">
        <f>SUM(T2:T121)</f>
        <v/>
      </c>
      <c r="U122" s="19">
        <f>SUM(U2:U121)</f>
        <v/>
      </c>
      <c r="V122" s="19">
        <f>SUM(V2:V121)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0" customWidth="1" min="3" max="3"/>
  </cols>
  <sheetData>
    <row r="1" ht="24" customHeight="1">
      <c r="A1" s="1" t="inlineStr">
        <is>
          <t>КЛЮЧЕВЫЕ ПОКАЗАТЕЛИ ПРОЕКТА</t>
        </is>
      </c>
    </row>
    <row r="2">
      <c r="A2" s="10" t="inlineStr">
        <is>
          <t>Проект</t>
        </is>
      </c>
      <c r="C2" s="20">
        <f>'Параметры'!$C$2</f>
        <v/>
      </c>
    </row>
    <row r="3">
      <c r="A3" s="10" t="inlineStr">
        <is>
          <t>Дата начала</t>
        </is>
      </c>
      <c r="C3" s="20">
        <f>'Параметры'!$C$3</f>
        <v/>
      </c>
    </row>
    <row r="4">
      <c r="A4" s="10" t="inlineStr">
        <is>
          <t>Горизонт планирования</t>
        </is>
      </c>
      <c r="C4" s="20">
        <f>'Параметры'!$C$12&amp;" мес."</f>
        <v/>
      </c>
    </row>
    <row r="5">
      <c r="A5" s="1" t="inlineStr">
        <is>
          <t>ПОКАЗАТЕЛИ ЭФФЕКТИВНОСТИ</t>
        </is>
      </c>
    </row>
    <row r="6">
      <c r="A6" s="21" t="inlineStr">
        <is>
          <t>NPV (чистая приведённая стоимость)</t>
        </is>
      </c>
      <c r="B6" s="22" t="inlineStr">
        <is>
          <t>руб.</t>
        </is>
      </c>
      <c r="C6" s="23">
        <f>NPV('Параметры'!$C$9/12,'Денежные потоки'!U2:U121)</f>
        <v/>
      </c>
    </row>
    <row r="7">
      <c r="A7" s="21" t="inlineStr">
        <is>
          <t>IRR (годовая внутренняя норма доходности)</t>
        </is>
      </c>
      <c r="B7" s="22" t="inlineStr">
        <is>
          <t>%</t>
        </is>
      </c>
      <c r="C7" s="24">
        <f>IFERROR((1+IRR('Денежные потоки'!U2:U121))^12-1,"Н/Д")</f>
        <v/>
      </c>
    </row>
    <row r="8">
      <c r="A8" s="21" t="inlineStr">
        <is>
          <t>ROI (рентабельность СС за горизонт)</t>
        </is>
      </c>
      <c r="B8" s="22" t="inlineStr">
        <is>
          <t>%</t>
        </is>
      </c>
      <c r="C8" s="24">
        <f>IFERROR(SUM('Денежные потоки'!P2:P121)/'Параметры'!$C$23,"Н/Д")</f>
        <v/>
      </c>
    </row>
    <row r="9">
      <c r="A9" s="21" t="inlineStr">
        <is>
          <t>Срок окупаемости</t>
        </is>
      </c>
      <c r="B9" s="22" t="inlineStr">
        <is>
          <t>мес.</t>
        </is>
      </c>
      <c r="C9" s="25">
        <f>MATCH(TRUE,'Денежные потоки'!V2:V121&gt;=0,0)</f>
        <v/>
      </c>
    </row>
    <row r="10">
      <c r="A10" s="21" t="inlineStr">
        <is>
          <t>Ставка дисконтирования (ЦБ)</t>
        </is>
      </c>
      <c r="B10" s="22" t="inlineStr">
        <is>
          <t>%</t>
        </is>
      </c>
      <c r="C10" s="24">
        <f>'Параметры'!$C$9</f>
        <v/>
      </c>
    </row>
    <row r="11">
      <c r="A11" s="1" t="inlineStr">
        <is>
          <t>ФИНАНСОВЫЕ ИТОГИ ЗА ГОРИЗОНТ</t>
        </is>
      </c>
    </row>
    <row r="12">
      <c r="A12" s="17" t="inlineStr">
        <is>
          <t>Суммарная выручка (с НДС)</t>
        </is>
      </c>
      <c r="B12" s="17" t="inlineStr">
        <is>
          <t>руб.</t>
        </is>
      </c>
      <c r="C12" s="11">
        <f>SUM('Денежные потоки'!D2:D121)</f>
        <v/>
      </c>
    </row>
    <row r="13">
      <c r="A13" s="17" t="inlineStr">
        <is>
          <t>Суммарная выручка (без НДС)</t>
        </is>
      </c>
      <c r="B13" s="17" t="inlineStr">
        <is>
          <t>руб.</t>
        </is>
      </c>
      <c r="C13" s="11">
        <f>SUM('Денежные потоки'!E2:E121)</f>
        <v/>
      </c>
    </row>
    <row r="14">
      <c r="A14" s="17" t="inlineStr">
        <is>
          <t>Операционные расходы</t>
        </is>
      </c>
      <c r="B14" s="17" t="inlineStr">
        <is>
          <t>руб.</t>
        </is>
      </c>
      <c r="C14" s="11">
        <f>SUM('Денежные потоки'!I2:I121)</f>
        <v/>
      </c>
    </row>
    <row r="15">
      <c r="A15" s="17" t="inlineStr">
        <is>
          <t>Чистая прибыль (суммарно)</t>
        </is>
      </c>
      <c r="B15" s="17" t="inlineStr">
        <is>
          <t>руб.</t>
        </is>
      </c>
      <c r="C15" s="11">
        <f>SUM('Денежные потоки'!P2:P121)</f>
        <v/>
      </c>
    </row>
    <row r="16">
      <c r="A16" s="1" t="inlineStr">
        <is>
          <t>НАЛОГИ И ПЛАТЕЖИ ЗА ГОРИЗОНТ</t>
        </is>
      </c>
    </row>
    <row r="17">
      <c r="A17" s="17" t="inlineStr">
        <is>
          <t>Налог на прибыль</t>
        </is>
      </c>
      <c r="B17" s="17" t="inlineStr">
        <is>
          <t>руб.</t>
        </is>
      </c>
      <c r="C17" s="11">
        <f>SUM('Денежные потоки'!O2:O121)</f>
        <v/>
      </c>
    </row>
    <row r="18">
      <c r="A18" s="17" t="inlineStr">
        <is>
          <t>НДС к уплате (выплаты в бюджет)</t>
        </is>
      </c>
      <c r="B18" s="17" t="inlineStr">
        <is>
          <t>руб.</t>
        </is>
      </c>
      <c r="C18" s="11">
        <f>SUMIF('Денежные потоки'!H2:H121,"&gt;0",'Денежные потоки'!H2:H121)</f>
        <v/>
      </c>
    </row>
    <row r="19">
      <c r="A19" s="17" t="inlineStr">
        <is>
          <t>Возврат НДС из строительства</t>
        </is>
      </c>
      <c r="B19" s="17" t="inlineStr">
        <is>
          <t>руб.</t>
        </is>
      </c>
      <c r="C19" s="11">
        <f>SUM('Денежные потоки'!G2:G121)</f>
        <v/>
      </c>
    </row>
    <row r="20">
      <c r="A20" s="17" t="inlineStr">
        <is>
          <t>Налог на имущество</t>
        </is>
      </c>
      <c r="B20" s="17" t="inlineStr">
        <is>
          <t>руб.</t>
        </is>
      </c>
      <c r="C20" s="11">
        <f>SUM('Денежные потоки'!K2:K121)</f>
        <v/>
      </c>
    </row>
    <row r="21">
      <c r="A21" s="17" t="inlineStr">
        <is>
          <t>Проценты по кредиту</t>
        </is>
      </c>
      <c r="B21" s="17" t="inlineStr">
        <is>
          <t>руб.</t>
        </is>
      </c>
      <c r="C21" s="11">
        <f>SUM('Денежные потоки'!M2:M121)</f>
        <v/>
      </c>
    </row>
    <row r="22">
      <c r="A22" s="1" t="inlineStr">
        <is>
          <t>СТРУКТУРА ФИНАНСИРОВАНИЯ</t>
        </is>
      </c>
    </row>
    <row r="23">
      <c r="A23" s="17" t="inlineStr">
        <is>
          <t>Собственные средства</t>
        </is>
      </c>
      <c r="B23" s="17" t="inlineStr">
        <is>
          <t>руб.</t>
        </is>
      </c>
      <c r="C23" s="11">
        <f>'Параметры'!$C$23</f>
        <v/>
      </c>
    </row>
    <row r="24">
      <c r="A24" s="17" t="inlineStr">
        <is>
          <t>Кредит</t>
        </is>
      </c>
      <c r="B24" s="17" t="inlineStr">
        <is>
          <t>руб.</t>
        </is>
      </c>
      <c r="C24" s="11">
        <f>'Параметры'!$C$22</f>
        <v/>
      </c>
    </row>
    <row r="25">
      <c r="A25" s="17" t="inlineStr">
        <is>
          <t>Итого инвестиций</t>
        </is>
      </c>
      <c r="B25" s="17" t="inlineStr">
        <is>
          <t>руб.</t>
        </is>
      </c>
      <c r="C25" s="11">
        <f>'Параметры'!$C$5</f>
        <v/>
      </c>
    </row>
  </sheetData>
  <mergeCells count="5">
    <mergeCell ref="A11:C11"/>
    <mergeCell ref="A1:C1"/>
    <mergeCell ref="A5:C5"/>
    <mergeCell ref="A22:C22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АНАЛИЗ ЧУВСТВИТЕЛЬНОСТИ</t>
        </is>
      </c>
    </row>
    <row r="2">
      <c r="A2" s="26" t="inlineStr">
        <is>
          <t>Параметр</t>
        </is>
      </c>
      <c r="B2" s="26" t="inlineStr">
        <is>
          <t>Сценарий (пессимист)</t>
        </is>
      </c>
      <c r="C2" s="26" t="inlineStr">
        <is>
          <t>Базовый</t>
        </is>
      </c>
      <c r="D2" s="26" t="inlineStr">
        <is>
          <t>Сценарий (оптимист)</t>
        </is>
      </c>
      <c r="E2" s="26" t="inlineStr">
        <is>
          <t>NPV пессимист</t>
        </is>
      </c>
      <c r="F2" s="26" t="inlineStr">
        <is>
          <t>NPV базовый</t>
        </is>
      </c>
      <c r="G2" s="26" t="inlineStr">
        <is>
          <t>NPV оптимист</t>
        </is>
      </c>
    </row>
    <row r="3">
      <c r="A3" s="9" t="inlineStr">
        <is>
          <t>Таблица заполняется командой /sensitivity &lt;name&gt;. Для пересчёта сценариев вручную измените параметры на листе «Параметры».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38" customWidth="1" min="3" max="3"/>
  </cols>
  <sheetData>
    <row r="1" ht="30" customHeight="1">
      <c r="A1" s="27" t="inlineStr">
        <is>
          <t>АНАЛИТИЧЕСКОЕ ЗАКЛЮЧЕНИЕ: Склад Весна</t>
        </is>
      </c>
    </row>
    <row r="3">
      <c r="A3" s="28" t="inlineStr">
        <is>
          <t>ОПИСАНИЕ ПРОЕКТА</t>
        </is>
      </c>
    </row>
    <row r="4">
      <c r="A4" s="10" t="inlineStr">
        <is>
          <t>Объект</t>
        </is>
      </c>
      <c r="B4" s="29" t="inlineStr">
        <is>
          <t>Склад, площадь 1 000 кв.м.</t>
        </is>
      </c>
    </row>
    <row r="5">
      <c r="A5" s="10" t="inlineStr">
        <is>
          <t>Дата начала</t>
        </is>
      </c>
      <c r="B5" s="29" t="inlineStr">
        <is>
          <t>01.07.2026</t>
        </is>
      </c>
    </row>
    <row r="6">
      <c r="A6" s="10" t="inlineStr">
        <is>
          <t>Стоимость</t>
        </is>
      </c>
      <c r="B6" s="29" t="inlineStr">
        <is>
          <t>48 800 000 руб. с НДС</t>
        </is>
      </c>
    </row>
    <row r="7">
      <c r="A7" s="10" t="inlineStr">
        <is>
          <t>Финансирование</t>
        </is>
      </c>
      <c r="B7" s="29" t="inlineStr">
        <is>
          <t>СС 20% / Кредит 80%</t>
        </is>
      </c>
    </row>
    <row r="8">
      <c r="A8" s="10" t="inlineStr">
        <is>
          <t>Аренда</t>
        </is>
      </c>
      <c r="B8" s="29" t="inlineStr">
        <is>
          <t>1 191 руб./кв.м./мес. с НДС</t>
        </is>
      </c>
    </row>
    <row r="9">
      <c r="A9" s="10" t="inlineStr">
        <is>
          <t>Срок строительства</t>
        </is>
      </c>
      <c r="B9" s="29" t="inlineStr">
        <is>
          <t>6 мес.</t>
        </is>
      </c>
    </row>
    <row r="10">
      <c r="A10" s="10" t="inlineStr">
        <is>
          <t>Горизонт</t>
        </is>
      </c>
      <c r="B10" s="29" t="inlineStr">
        <is>
          <t>120 мес. (10 лет)</t>
        </is>
      </c>
    </row>
    <row r="12" ht="36" customHeight="1">
      <c r="A12" s="30" t="inlineStr">
        <is>
          <t>ИНВЕСТИЦИОННАЯ ПРИВЛЕКАТЕЛЬНОСТЬ: НИЗКАЯ — проект не создаёт стоимости</t>
        </is>
      </c>
    </row>
    <row r="14">
      <c r="A14" s="28" t="inlineStr">
        <is>
          <t>КЛЮЧЕВЫЕ ПОКАЗАТЕЛИ</t>
        </is>
      </c>
    </row>
    <row r="15">
      <c r="A15" s="31" t="inlineStr">
        <is>
          <t>Показатель</t>
        </is>
      </c>
      <c r="B15" s="32" t="inlineStr">
        <is>
          <t>Значение</t>
        </is>
      </c>
      <c r="C15" s="31" t="inlineStr">
        <is>
          <t>Оценка</t>
        </is>
      </c>
    </row>
    <row r="16">
      <c r="A16" s="33" t="inlineStr">
        <is>
          <t>NPV (чистая приведённая стоимость)</t>
        </is>
      </c>
      <c r="B16" s="34" t="inlineStr">
        <is>
          <t>-20 431 191 руб.</t>
        </is>
      </c>
      <c r="C16" s="35" t="inlineStr">
        <is>
          <t>отрицательный</t>
        </is>
      </c>
    </row>
    <row r="17">
      <c r="A17" s="33" t="inlineStr">
        <is>
          <t>IRR (внутренняя норма доходности)</t>
        </is>
      </c>
      <c r="B17" s="34" t="inlineStr">
        <is>
          <t>—</t>
        </is>
      </c>
      <c r="C17" s="35" t="inlineStr">
        <is>
          <t>не определён</t>
        </is>
      </c>
    </row>
    <row r="18">
      <c r="A18" s="33" t="inlineStr">
        <is>
          <t>ROI (рентабельность СС за горизонт)</t>
        </is>
      </c>
      <c r="B18" s="34" t="inlineStr">
        <is>
          <t>365.3%</t>
        </is>
      </c>
      <c r="C18" s="36" t="inlineStr">
        <is>
          <t>высокий</t>
        </is>
      </c>
    </row>
    <row r="19">
      <c r="A19" s="33" t="inlineStr">
        <is>
          <t>Срок окупаемости</t>
        </is>
      </c>
      <c r="B19" s="34" t="inlineStr">
        <is>
          <t>&gt; 120 мес.</t>
        </is>
      </c>
      <c r="C19" s="35" t="inlineStr">
        <is>
          <t>не окупается в горизонте</t>
        </is>
      </c>
    </row>
    <row r="21">
      <c r="A21" s="28" t="inlineStr">
        <is>
          <t>ФИНАНСОВАЯ НАГРУЗКА</t>
        </is>
      </c>
    </row>
    <row r="22">
      <c r="A22" s="33" t="inlineStr">
        <is>
          <t>Доля налогов в выручке (б/НДС)</t>
        </is>
      </c>
      <c r="B22" s="34" t="inlineStr">
        <is>
          <t>35.3%</t>
        </is>
      </c>
    </row>
    <row r="23">
      <c r="A23" s="33" t="inlineStr">
        <is>
          <t>Покрытие процентов (ICR ≈ EBIT/Проценты)</t>
        </is>
      </c>
      <c r="B23" s="34" t="inlineStr">
        <is>
          <t>1.70×</t>
        </is>
      </c>
    </row>
    <row r="24">
      <c r="A24" s="33" t="inlineStr">
        <is>
          <t>Долговая нагрузка (доля кредита, LTV)</t>
        </is>
      </c>
      <c r="B24" s="34" t="inlineStr">
        <is>
          <t>80%</t>
        </is>
      </c>
    </row>
    <row r="25">
      <c r="A25" s="33" t="inlineStr">
        <is>
          <t>Суммарные проценты по кредиту</t>
        </is>
      </c>
      <c r="B25" s="34" t="inlineStr">
        <is>
          <t>50 701 733 руб.</t>
        </is>
      </c>
    </row>
    <row r="26">
      <c r="A26" s="33" t="inlineStr">
        <is>
          <t>Суммарная чистая прибыль за горизонт</t>
        </is>
      </c>
      <c r="B26" s="34" t="inlineStr">
        <is>
          <t>35 654 322 руб.</t>
        </is>
      </c>
    </row>
    <row r="28">
      <c r="A28" s="28" t="inlineStr">
        <is>
          <t>ОСНОВНЫЕ РИСКИ</t>
        </is>
      </c>
    </row>
    <row r="29" ht="45" customHeight="1">
      <c r="A29" s="37" t="inlineStr">
        <is>
          <t>1.</t>
        </is>
      </c>
      <c r="B29" s="38" t="inlineStr">
        <is>
          <t>Отрицательный NPV — при текущих параметрах проект разрушает стоимость. Без коррекции аренды, себестоимости или сроков ожидаемая доходность ниже стоимости капитала.</t>
        </is>
      </c>
    </row>
    <row r="30" ht="45" customHeight="1">
      <c r="A30" s="37" t="inlineStr">
        <is>
          <t>2.</t>
        </is>
      </c>
      <c r="B30" s="38" t="inlineStr">
        <is>
          <t>Проект не окупается в горизонте 120 мес. — макрошоки за пределами окна планирования ставят инвестора в неопределённость.</t>
        </is>
      </c>
    </row>
    <row r="31" ht="30" customHeight="1">
      <c r="A31" s="37" t="inlineStr">
        <is>
          <t>3.</t>
        </is>
      </c>
      <c r="B31" s="38" t="inlineStr">
        <is>
          <t>Проценты по кредиту (142% от чистой прибыли за горизонт) съедают значительную часть операционного результата.</t>
        </is>
      </c>
    </row>
    <row r="32" ht="30" customHeight="1">
      <c r="A32" s="37" t="inlineStr">
        <is>
          <t>4.</t>
        </is>
      </c>
      <c r="B32" s="38" t="inlineStr">
        <is>
          <t>Высокая налоговая нагрузка: 35% от выручки идёт в бюджет — проект чувствителен к изменениям налогового режима.</t>
        </is>
      </c>
    </row>
    <row r="34">
      <c r="A34" s="28" t="inlineStr">
        <is>
          <t>РЕКОМЕНДАЦИИ</t>
        </is>
      </c>
    </row>
    <row r="35" ht="45" customHeight="1">
      <c r="A35" s="37" t="inlineStr">
        <is>
          <t>•</t>
        </is>
      </c>
      <c r="B35" s="38" t="inlineStr">
        <is>
          <t>Пересмотреть базовую экономику: повысить арендную ставку или снизить себестоимость строительства. NPV — самый прямой сигнал нерентабельности.</t>
        </is>
      </c>
    </row>
    <row r="36" ht="45" customHeight="1">
      <c r="A36" s="37" t="inlineStr">
        <is>
          <t>•</t>
        </is>
      </c>
      <c r="B36" s="38" t="inlineStr">
        <is>
          <t>Снизить долю кредита с 80% до 60–65%. Каждые 10 п.п. снижения уменьшают процентную нагрузку и ускоряют окупаемость на 8–15%.</t>
        </is>
      </c>
    </row>
    <row r="37" ht="45" customHeight="1">
      <c r="A37" s="37" t="inlineStr">
        <is>
          <t>•</t>
        </is>
      </c>
      <c r="B37" s="38" t="inlineStr">
        <is>
          <t>Рассмотреть рефинансирование или субсидируемые программы кредитования (например, льготы для промышленных складов) — снижение ставки на 2 п.п. даёт ощутимый прирост IRR.</t>
        </is>
      </c>
    </row>
    <row r="39">
      <c r="A39" s="28" t="inlineStr">
        <is>
          <t>ВЫВОД</t>
        </is>
      </c>
    </row>
    <row r="40" ht="28" customHeight="1">
      <c r="A40" s="39" t="inlineStr">
        <is>
          <t>Проект в текущей конфигурации не целесообразен без существенной корректировки параметров. NPV = -20 431 191 руб., IRR = не определён, окупаемость — за пределами горизонта 120 мес.. Перед финальным решением рекомендуется выполнить анализ чувствительности по арендной ставке, себестоимости строительства и кредитной ставке (см. лист «Чувствительность»).</t>
        </is>
      </c>
    </row>
    <row r="41" ht="28" customHeight="1"/>
    <row r="42" ht="28" customHeight="1"/>
    <row r="44">
      <c r="A44" s="40" t="inlineStr">
        <is>
          <t>Заключение сгенерировано автоматически на основе KPI и пороговых правил. Для углублённого анализа — см. лист «Чувствительность».</t>
        </is>
      </c>
    </row>
  </sheetData>
  <mergeCells count="29">
    <mergeCell ref="B7:C7"/>
    <mergeCell ref="B25:C25"/>
    <mergeCell ref="B22:C22"/>
    <mergeCell ref="A3:C3"/>
    <mergeCell ref="A21:C21"/>
    <mergeCell ref="B31:C31"/>
    <mergeCell ref="A12:C12"/>
    <mergeCell ref="A14:C14"/>
    <mergeCell ref="B23:C23"/>
    <mergeCell ref="B8:C8"/>
    <mergeCell ref="A28:C28"/>
    <mergeCell ref="B29:C29"/>
    <mergeCell ref="A44:C44"/>
    <mergeCell ref="B37:C37"/>
    <mergeCell ref="B10:C10"/>
    <mergeCell ref="A39:C39"/>
    <mergeCell ref="A34:C34"/>
    <mergeCell ref="B9:C9"/>
    <mergeCell ref="B6:C6"/>
    <mergeCell ref="B24:C24"/>
    <mergeCell ref="B30:C30"/>
    <mergeCell ref="A40:C42"/>
    <mergeCell ref="A1:C1"/>
    <mergeCell ref="B5:C5"/>
    <mergeCell ref="B36:C36"/>
    <mergeCell ref="B32:C32"/>
    <mergeCell ref="B26:C26"/>
    <mergeCell ref="B35:C3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2026-05-30T15:19:22Z</dcterms:created>
  <dcterms:modified xmlns:dcterms="http://purl.org/dc/terms/" xmlns:xsi="http://www.w3.org/2001/XMLSchema-instance" xsi:type="dcterms:W3CDTF">2026-05-30T15:19:22Z</dcterms:modified>
</cp:coreProperties>
</file>