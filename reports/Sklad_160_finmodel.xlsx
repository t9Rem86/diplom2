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pGrade\Desktop\diplom2\reports\"/>
    </mc:Choice>
  </mc:AlternateContent>
  <xr:revisionPtr revIDLastSave="0" documentId="13_ncr:1_{41A0955B-8D52-45A8-BC63-62BDDB766357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Параметры" sheetId="1" r:id="rId1"/>
    <sheet name="Денежные потоки" sheetId="2" r:id="rId2"/>
    <sheet name="ИТОГ" sheetId="3" r:id="rId3"/>
    <sheet name="Чувствительность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9" i="3" l="1" a="1"/>
  <c r="C9" i="3" s="1"/>
  <c r="C8" i="3"/>
  <c r="C15" i="3"/>
  <c r="C6" i="3"/>
  <c r="C25" i="3"/>
  <c r="C10" i="3"/>
  <c r="C4" i="3"/>
  <c r="C3" i="3"/>
  <c r="C2" i="3"/>
  <c r="C202" i="2"/>
  <c r="G201" i="2"/>
  <c r="F201" i="2"/>
  <c r="H201" i="2" s="1"/>
  <c r="E201" i="2"/>
  <c r="D201" i="2"/>
  <c r="G200" i="2"/>
  <c r="D200" i="2"/>
  <c r="E200" i="2" s="1"/>
  <c r="G199" i="2"/>
  <c r="D199" i="2"/>
  <c r="G198" i="2"/>
  <c r="D198" i="2"/>
  <c r="E198" i="2" s="1"/>
  <c r="I197" i="2"/>
  <c r="G197" i="2"/>
  <c r="E197" i="2"/>
  <c r="D197" i="2"/>
  <c r="F197" i="2" s="1"/>
  <c r="H197" i="2" s="1"/>
  <c r="G196" i="2"/>
  <c r="D196" i="2"/>
  <c r="I195" i="2"/>
  <c r="G195" i="2"/>
  <c r="E195" i="2"/>
  <c r="D195" i="2"/>
  <c r="F195" i="2" s="1"/>
  <c r="H195" i="2" s="1"/>
  <c r="G194" i="2"/>
  <c r="E194" i="2"/>
  <c r="I194" i="2" s="1"/>
  <c r="D194" i="2"/>
  <c r="F194" i="2" s="1"/>
  <c r="H194" i="2" s="1"/>
  <c r="G193" i="2"/>
  <c r="E193" i="2"/>
  <c r="D193" i="2"/>
  <c r="G192" i="2"/>
  <c r="D192" i="2"/>
  <c r="G191" i="2"/>
  <c r="E191" i="2"/>
  <c r="D191" i="2"/>
  <c r="F191" i="2" s="1"/>
  <c r="H191" i="2" s="1"/>
  <c r="G190" i="2"/>
  <c r="D190" i="2"/>
  <c r="I189" i="2"/>
  <c r="G189" i="2"/>
  <c r="F189" i="2"/>
  <c r="H189" i="2" s="1"/>
  <c r="E189" i="2"/>
  <c r="D189" i="2"/>
  <c r="G188" i="2"/>
  <c r="D188" i="2"/>
  <c r="E188" i="2" s="1"/>
  <c r="G187" i="2"/>
  <c r="D187" i="2"/>
  <c r="G186" i="2"/>
  <c r="D186" i="2"/>
  <c r="E186" i="2" s="1"/>
  <c r="I185" i="2"/>
  <c r="G185" i="2"/>
  <c r="E185" i="2"/>
  <c r="D185" i="2"/>
  <c r="F185" i="2" s="1"/>
  <c r="H185" i="2" s="1"/>
  <c r="G184" i="2"/>
  <c r="D184" i="2"/>
  <c r="I183" i="2"/>
  <c r="G183" i="2"/>
  <c r="E183" i="2"/>
  <c r="D183" i="2"/>
  <c r="F183" i="2" s="1"/>
  <c r="H183" i="2" s="1"/>
  <c r="G182" i="2"/>
  <c r="E182" i="2"/>
  <c r="I182" i="2" s="1"/>
  <c r="D182" i="2"/>
  <c r="G181" i="2"/>
  <c r="E181" i="2"/>
  <c r="D181" i="2"/>
  <c r="G180" i="2"/>
  <c r="D180" i="2"/>
  <c r="E180" i="2" s="1"/>
  <c r="G179" i="2"/>
  <c r="E179" i="2"/>
  <c r="D179" i="2"/>
  <c r="F179" i="2" s="1"/>
  <c r="H179" i="2" s="1"/>
  <c r="G178" i="2"/>
  <c r="D178" i="2"/>
  <c r="I177" i="2"/>
  <c r="G177" i="2"/>
  <c r="F177" i="2"/>
  <c r="H177" i="2" s="1"/>
  <c r="E177" i="2"/>
  <c r="D177" i="2"/>
  <c r="G176" i="2"/>
  <c r="F176" i="2"/>
  <c r="H176" i="2" s="1"/>
  <c r="D176" i="2"/>
  <c r="E176" i="2" s="1"/>
  <c r="G175" i="2"/>
  <c r="D175" i="2"/>
  <c r="G174" i="2"/>
  <c r="D174" i="2"/>
  <c r="E174" i="2" s="1"/>
  <c r="I173" i="2"/>
  <c r="G173" i="2"/>
  <c r="E173" i="2"/>
  <c r="D173" i="2"/>
  <c r="F173" i="2" s="1"/>
  <c r="H173" i="2" s="1"/>
  <c r="G172" i="2"/>
  <c r="D172" i="2"/>
  <c r="I171" i="2"/>
  <c r="G171" i="2"/>
  <c r="E171" i="2"/>
  <c r="D171" i="2"/>
  <c r="F171" i="2" s="1"/>
  <c r="H171" i="2" s="1"/>
  <c r="G170" i="2"/>
  <c r="E170" i="2"/>
  <c r="I170" i="2" s="1"/>
  <c r="D170" i="2"/>
  <c r="G169" i="2"/>
  <c r="E169" i="2"/>
  <c r="D169" i="2"/>
  <c r="G168" i="2"/>
  <c r="D168" i="2"/>
  <c r="E168" i="2" s="1"/>
  <c r="G167" i="2"/>
  <c r="E167" i="2"/>
  <c r="D167" i="2"/>
  <c r="F167" i="2" s="1"/>
  <c r="H167" i="2" s="1"/>
  <c r="G166" i="2"/>
  <c r="D166" i="2"/>
  <c r="I165" i="2"/>
  <c r="G165" i="2"/>
  <c r="F165" i="2"/>
  <c r="H165" i="2" s="1"/>
  <c r="E165" i="2"/>
  <c r="D165" i="2"/>
  <c r="G164" i="2"/>
  <c r="F164" i="2"/>
  <c r="H164" i="2" s="1"/>
  <c r="D164" i="2"/>
  <c r="E164" i="2" s="1"/>
  <c r="G163" i="2"/>
  <c r="D163" i="2"/>
  <c r="G162" i="2"/>
  <c r="D162" i="2"/>
  <c r="E162" i="2" s="1"/>
  <c r="I161" i="2"/>
  <c r="G161" i="2"/>
  <c r="E161" i="2"/>
  <c r="D161" i="2"/>
  <c r="F161" i="2" s="1"/>
  <c r="H161" i="2" s="1"/>
  <c r="G160" i="2"/>
  <c r="D160" i="2"/>
  <c r="I159" i="2"/>
  <c r="G159" i="2"/>
  <c r="E159" i="2"/>
  <c r="D159" i="2"/>
  <c r="F159" i="2" s="1"/>
  <c r="H159" i="2" s="1"/>
  <c r="G158" i="2"/>
  <c r="E158" i="2"/>
  <c r="I158" i="2" s="1"/>
  <c r="D158" i="2"/>
  <c r="G157" i="2"/>
  <c r="E157" i="2"/>
  <c r="D157" i="2"/>
  <c r="G156" i="2"/>
  <c r="D156" i="2"/>
  <c r="E156" i="2" s="1"/>
  <c r="G155" i="2"/>
  <c r="E155" i="2"/>
  <c r="D155" i="2"/>
  <c r="F155" i="2" s="1"/>
  <c r="H155" i="2" s="1"/>
  <c r="G154" i="2"/>
  <c r="D154" i="2"/>
  <c r="I153" i="2"/>
  <c r="G153" i="2"/>
  <c r="F153" i="2"/>
  <c r="H153" i="2" s="1"/>
  <c r="E153" i="2"/>
  <c r="D153" i="2"/>
  <c r="G152" i="2"/>
  <c r="F152" i="2"/>
  <c r="H152" i="2" s="1"/>
  <c r="D152" i="2"/>
  <c r="E152" i="2" s="1"/>
  <c r="G151" i="2"/>
  <c r="D151" i="2"/>
  <c r="G150" i="2"/>
  <c r="F150" i="2"/>
  <c r="H150" i="2" s="1"/>
  <c r="D150" i="2"/>
  <c r="E150" i="2" s="1"/>
  <c r="G149" i="2"/>
  <c r="E149" i="2"/>
  <c r="D149" i="2"/>
  <c r="F149" i="2" s="1"/>
  <c r="H149" i="2" s="1"/>
  <c r="G148" i="2"/>
  <c r="D148" i="2"/>
  <c r="I147" i="2"/>
  <c r="G147" i="2"/>
  <c r="E147" i="2"/>
  <c r="D147" i="2"/>
  <c r="F147" i="2" s="1"/>
  <c r="H147" i="2" s="1"/>
  <c r="G146" i="2"/>
  <c r="E146" i="2"/>
  <c r="I146" i="2" s="1"/>
  <c r="D146" i="2"/>
  <c r="G145" i="2"/>
  <c r="E145" i="2"/>
  <c r="D145" i="2"/>
  <c r="G144" i="2"/>
  <c r="D144" i="2"/>
  <c r="E144" i="2" s="1"/>
  <c r="G143" i="2"/>
  <c r="E143" i="2"/>
  <c r="D143" i="2"/>
  <c r="F143" i="2" s="1"/>
  <c r="H143" i="2" s="1"/>
  <c r="G142" i="2"/>
  <c r="D142" i="2"/>
  <c r="I141" i="2"/>
  <c r="G141" i="2"/>
  <c r="F141" i="2"/>
  <c r="H141" i="2" s="1"/>
  <c r="E141" i="2"/>
  <c r="D141" i="2"/>
  <c r="G140" i="2"/>
  <c r="F140" i="2"/>
  <c r="H140" i="2" s="1"/>
  <c r="D140" i="2"/>
  <c r="E140" i="2" s="1"/>
  <c r="G139" i="2"/>
  <c r="D139" i="2"/>
  <c r="G138" i="2"/>
  <c r="E138" i="2"/>
  <c r="D138" i="2"/>
  <c r="G137" i="2"/>
  <c r="D137" i="2"/>
  <c r="G136" i="2"/>
  <c r="D136" i="2"/>
  <c r="E136" i="2" s="1"/>
  <c r="G135" i="2"/>
  <c r="F135" i="2"/>
  <c r="H135" i="2" s="1"/>
  <c r="E135" i="2"/>
  <c r="D135" i="2"/>
  <c r="G134" i="2"/>
  <c r="D134" i="2"/>
  <c r="G133" i="2"/>
  <c r="E133" i="2"/>
  <c r="D133" i="2"/>
  <c r="G132" i="2"/>
  <c r="D132" i="2"/>
  <c r="G131" i="2"/>
  <c r="D131" i="2"/>
  <c r="G130" i="2"/>
  <c r="D130" i="2"/>
  <c r="E130" i="2" s="1"/>
  <c r="G129" i="2"/>
  <c r="E129" i="2"/>
  <c r="I129" i="2" s="1"/>
  <c r="D129" i="2"/>
  <c r="G128" i="2"/>
  <c r="D128" i="2"/>
  <c r="I127" i="2"/>
  <c r="G127" i="2"/>
  <c r="E127" i="2"/>
  <c r="D127" i="2"/>
  <c r="F127" i="2" s="1"/>
  <c r="H127" i="2" s="1"/>
  <c r="G126" i="2"/>
  <c r="D126" i="2"/>
  <c r="G125" i="2"/>
  <c r="D125" i="2"/>
  <c r="G124" i="2"/>
  <c r="D124" i="2"/>
  <c r="E124" i="2" s="1"/>
  <c r="G123" i="2"/>
  <c r="E123" i="2"/>
  <c r="D123" i="2"/>
  <c r="G122" i="2"/>
  <c r="D122" i="2"/>
  <c r="G121" i="2"/>
  <c r="D121" i="2"/>
  <c r="G120" i="2"/>
  <c r="D120" i="2"/>
  <c r="G119" i="2"/>
  <c r="D119" i="2"/>
  <c r="G118" i="2"/>
  <c r="F118" i="2"/>
  <c r="H118" i="2" s="1"/>
  <c r="D118" i="2"/>
  <c r="E118" i="2" s="1"/>
  <c r="G117" i="2"/>
  <c r="E117" i="2"/>
  <c r="I117" i="2" s="1"/>
  <c r="D117" i="2"/>
  <c r="G116" i="2"/>
  <c r="F116" i="2"/>
  <c r="H116" i="2" s="1"/>
  <c r="D116" i="2"/>
  <c r="E116" i="2" s="1"/>
  <c r="I115" i="2"/>
  <c r="G115" i="2"/>
  <c r="E115" i="2"/>
  <c r="D115" i="2"/>
  <c r="F115" i="2" s="1"/>
  <c r="H115" i="2" s="1"/>
  <c r="G114" i="2"/>
  <c r="D114" i="2"/>
  <c r="G113" i="2"/>
  <c r="D113" i="2"/>
  <c r="G112" i="2"/>
  <c r="D112" i="2"/>
  <c r="E112" i="2" s="1"/>
  <c r="G111" i="2"/>
  <c r="E111" i="2"/>
  <c r="D111" i="2"/>
  <c r="G110" i="2"/>
  <c r="D110" i="2"/>
  <c r="G109" i="2"/>
  <c r="D109" i="2"/>
  <c r="G108" i="2"/>
  <c r="D108" i="2"/>
  <c r="G107" i="2"/>
  <c r="D107" i="2"/>
  <c r="I106" i="2"/>
  <c r="G106" i="2"/>
  <c r="H106" i="2" s="1"/>
  <c r="F106" i="2"/>
  <c r="E106" i="2"/>
  <c r="D106" i="2"/>
  <c r="G105" i="2"/>
  <c r="E105" i="2"/>
  <c r="I105" i="2" s="1"/>
  <c r="D105" i="2"/>
  <c r="G104" i="2"/>
  <c r="D104" i="2"/>
  <c r="I103" i="2"/>
  <c r="G103" i="2"/>
  <c r="E103" i="2"/>
  <c r="D103" i="2"/>
  <c r="F103" i="2" s="1"/>
  <c r="H103" i="2" s="1"/>
  <c r="G102" i="2"/>
  <c r="D102" i="2"/>
  <c r="G101" i="2"/>
  <c r="D101" i="2"/>
  <c r="G100" i="2"/>
  <c r="D100" i="2"/>
  <c r="E100" i="2" s="1"/>
  <c r="I100" i="2" s="1"/>
  <c r="G99" i="2"/>
  <c r="F99" i="2"/>
  <c r="E99" i="2"/>
  <c r="D99" i="2"/>
  <c r="G98" i="2"/>
  <c r="D98" i="2"/>
  <c r="G97" i="2"/>
  <c r="D97" i="2"/>
  <c r="G96" i="2"/>
  <c r="D96" i="2"/>
  <c r="G95" i="2"/>
  <c r="D95" i="2"/>
  <c r="I94" i="2"/>
  <c r="G94" i="2"/>
  <c r="F94" i="2"/>
  <c r="H94" i="2" s="1"/>
  <c r="E94" i="2"/>
  <c r="D94" i="2"/>
  <c r="G93" i="2"/>
  <c r="E93" i="2"/>
  <c r="D93" i="2"/>
  <c r="G92" i="2"/>
  <c r="E92" i="2"/>
  <c r="I92" i="2" s="1"/>
  <c r="D92" i="2"/>
  <c r="F92" i="2" s="1"/>
  <c r="H92" i="2" s="1"/>
  <c r="G91" i="2"/>
  <c r="E91" i="2"/>
  <c r="I91" i="2" s="1"/>
  <c r="D91" i="2"/>
  <c r="G90" i="2"/>
  <c r="D90" i="2"/>
  <c r="G89" i="2"/>
  <c r="D89" i="2"/>
  <c r="E89" i="2" s="1"/>
  <c r="G88" i="2"/>
  <c r="F88" i="2"/>
  <c r="H88" i="2" s="1"/>
  <c r="D88" i="2"/>
  <c r="E88" i="2" s="1"/>
  <c r="G87" i="2"/>
  <c r="F87" i="2"/>
  <c r="E87" i="2"/>
  <c r="D87" i="2"/>
  <c r="G86" i="2"/>
  <c r="D86" i="2"/>
  <c r="G85" i="2"/>
  <c r="E85" i="2"/>
  <c r="D85" i="2"/>
  <c r="I84" i="2"/>
  <c r="H84" i="2"/>
  <c r="G84" i="2"/>
  <c r="E84" i="2"/>
  <c r="D84" i="2"/>
  <c r="F84" i="2" s="1"/>
  <c r="G83" i="2"/>
  <c r="F83" i="2"/>
  <c r="H83" i="2" s="1"/>
  <c r="E83" i="2"/>
  <c r="D83" i="2"/>
  <c r="G82" i="2"/>
  <c r="D82" i="2"/>
  <c r="E82" i="2" s="1"/>
  <c r="G81" i="2"/>
  <c r="D81" i="2"/>
  <c r="G80" i="2"/>
  <c r="D80" i="2"/>
  <c r="I79" i="2"/>
  <c r="G79" i="2"/>
  <c r="E79" i="2"/>
  <c r="F79" i="2" s="1"/>
  <c r="H79" i="2" s="1"/>
  <c r="D79" i="2"/>
  <c r="G78" i="2"/>
  <c r="D78" i="2"/>
  <c r="G77" i="2"/>
  <c r="D77" i="2"/>
  <c r="G76" i="2"/>
  <c r="E76" i="2"/>
  <c r="I76" i="2" s="1"/>
  <c r="D76" i="2"/>
  <c r="F76" i="2" s="1"/>
  <c r="H76" i="2" s="1"/>
  <c r="G75" i="2"/>
  <c r="E75" i="2"/>
  <c r="D75" i="2"/>
  <c r="G74" i="2"/>
  <c r="D74" i="2"/>
  <c r="G73" i="2"/>
  <c r="D73" i="2"/>
  <c r="I72" i="2"/>
  <c r="G72" i="2"/>
  <c r="E72" i="2"/>
  <c r="D72" i="2"/>
  <c r="F72" i="2" s="1"/>
  <c r="H72" i="2" s="1"/>
  <c r="G71" i="2"/>
  <c r="E71" i="2"/>
  <c r="D71" i="2"/>
  <c r="G70" i="2"/>
  <c r="D70" i="2"/>
  <c r="E70" i="2" s="1"/>
  <c r="G69" i="2"/>
  <c r="D69" i="2"/>
  <c r="G68" i="2"/>
  <c r="D68" i="2"/>
  <c r="I67" i="2"/>
  <c r="G67" i="2"/>
  <c r="F67" i="2"/>
  <c r="H67" i="2" s="1"/>
  <c r="E67" i="2"/>
  <c r="D67" i="2"/>
  <c r="G66" i="2"/>
  <c r="D66" i="2"/>
  <c r="G65" i="2"/>
  <c r="D65" i="2"/>
  <c r="I64" i="2"/>
  <c r="G64" i="2"/>
  <c r="E64" i="2"/>
  <c r="D64" i="2"/>
  <c r="F64" i="2" s="1"/>
  <c r="H64" i="2" s="1"/>
  <c r="G63" i="2"/>
  <c r="E63" i="2"/>
  <c r="F63" i="2" s="1"/>
  <c r="H63" i="2" s="1"/>
  <c r="D63" i="2"/>
  <c r="G62" i="2"/>
  <c r="D62" i="2"/>
  <c r="G61" i="2"/>
  <c r="D61" i="2"/>
  <c r="I60" i="2"/>
  <c r="H60" i="2"/>
  <c r="G60" i="2"/>
  <c r="E60" i="2"/>
  <c r="D60" i="2"/>
  <c r="F60" i="2" s="1"/>
  <c r="G59" i="2"/>
  <c r="E59" i="2"/>
  <c r="D59" i="2"/>
  <c r="H58" i="2"/>
  <c r="G58" i="2"/>
  <c r="F58" i="2"/>
  <c r="D58" i="2"/>
  <c r="E58" i="2" s="1"/>
  <c r="G57" i="2"/>
  <c r="D57" i="2"/>
  <c r="G56" i="2"/>
  <c r="F56" i="2"/>
  <c r="H56" i="2" s="1"/>
  <c r="E56" i="2"/>
  <c r="D56" i="2"/>
  <c r="I55" i="2"/>
  <c r="G55" i="2"/>
  <c r="F55" i="2"/>
  <c r="H55" i="2" s="1"/>
  <c r="E55" i="2"/>
  <c r="D55" i="2"/>
  <c r="G54" i="2"/>
  <c r="D54" i="2"/>
  <c r="G53" i="2"/>
  <c r="D53" i="2"/>
  <c r="G52" i="2"/>
  <c r="D52" i="2"/>
  <c r="I51" i="2"/>
  <c r="G51" i="2"/>
  <c r="F51" i="2"/>
  <c r="E51" i="2"/>
  <c r="D51" i="2"/>
  <c r="G50" i="2"/>
  <c r="D50" i="2"/>
  <c r="E50" i="2" s="1"/>
  <c r="I50" i="2" s="1"/>
  <c r="G49" i="2"/>
  <c r="D49" i="2"/>
  <c r="G48" i="2"/>
  <c r="D48" i="2"/>
  <c r="J47" i="2"/>
  <c r="I47" i="2"/>
  <c r="G47" i="2"/>
  <c r="F47" i="2"/>
  <c r="H47" i="2" s="1"/>
  <c r="E47" i="2"/>
  <c r="D47" i="2"/>
  <c r="G46" i="2"/>
  <c r="D46" i="2"/>
  <c r="E46" i="2" s="1"/>
  <c r="I46" i="2" s="1"/>
  <c r="G45" i="2"/>
  <c r="D45" i="2"/>
  <c r="J44" i="2"/>
  <c r="I44" i="2"/>
  <c r="G44" i="2"/>
  <c r="E44" i="2"/>
  <c r="D44" i="2"/>
  <c r="F44" i="2" s="1"/>
  <c r="H44" i="2" s="1"/>
  <c r="G43" i="2"/>
  <c r="F43" i="2"/>
  <c r="H43" i="2" s="1"/>
  <c r="E43" i="2"/>
  <c r="D43" i="2"/>
  <c r="H42" i="2"/>
  <c r="G42" i="2"/>
  <c r="F42" i="2"/>
  <c r="E42" i="2"/>
  <c r="D42" i="2"/>
  <c r="G41" i="2"/>
  <c r="D41" i="2"/>
  <c r="G40" i="2"/>
  <c r="D40" i="2"/>
  <c r="G39" i="2"/>
  <c r="D39" i="2"/>
  <c r="G38" i="2"/>
  <c r="D38" i="2"/>
  <c r="E38" i="2" s="1"/>
  <c r="F38" i="2" s="1"/>
  <c r="H38" i="2" s="1"/>
  <c r="G37" i="2"/>
  <c r="F37" i="2"/>
  <c r="H37" i="2" s="1"/>
  <c r="E37" i="2"/>
  <c r="I37" i="2" s="1"/>
  <c r="D37" i="2"/>
  <c r="G36" i="2"/>
  <c r="D36" i="2"/>
  <c r="E36" i="2" s="1"/>
  <c r="J35" i="2"/>
  <c r="I35" i="2"/>
  <c r="G35" i="2"/>
  <c r="E35" i="2"/>
  <c r="D35" i="2"/>
  <c r="F35" i="2" s="1"/>
  <c r="H35" i="2" s="1"/>
  <c r="G34" i="2"/>
  <c r="D34" i="2"/>
  <c r="I33" i="2"/>
  <c r="G33" i="2"/>
  <c r="H33" i="2" s="1"/>
  <c r="E33" i="2"/>
  <c r="D33" i="2"/>
  <c r="F33" i="2" s="1"/>
  <c r="G32" i="2"/>
  <c r="E32" i="2"/>
  <c r="I32" i="2" s="1"/>
  <c r="D32" i="2"/>
  <c r="G31" i="2"/>
  <c r="E31" i="2"/>
  <c r="D31" i="2"/>
  <c r="G30" i="2"/>
  <c r="F30" i="2"/>
  <c r="H30" i="2" s="1"/>
  <c r="E30" i="2"/>
  <c r="I30" i="2" s="1"/>
  <c r="D30" i="2"/>
  <c r="G29" i="2"/>
  <c r="D29" i="2"/>
  <c r="G28" i="2"/>
  <c r="D28" i="2"/>
  <c r="G27" i="2"/>
  <c r="D27" i="2"/>
  <c r="G26" i="2"/>
  <c r="D26" i="2"/>
  <c r="E26" i="2" s="1"/>
  <c r="G25" i="2"/>
  <c r="F25" i="2"/>
  <c r="H25" i="2" s="1"/>
  <c r="E25" i="2"/>
  <c r="I25" i="2" s="1"/>
  <c r="D25" i="2"/>
  <c r="G24" i="2"/>
  <c r="E24" i="2"/>
  <c r="D24" i="2"/>
  <c r="I23" i="2"/>
  <c r="G23" i="2"/>
  <c r="E23" i="2"/>
  <c r="D23" i="2"/>
  <c r="F23" i="2" s="1"/>
  <c r="H23" i="2" s="1"/>
  <c r="G22" i="2"/>
  <c r="D22" i="2"/>
  <c r="I21" i="2"/>
  <c r="G21" i="2"/>
  <c r="E21" i="2"/>
  <c r="D21" i="2"/>
  <c r="F21" i="2" s="1"/>
  <c r="H21" i="2" s="1"/>
  <c r="G20" i="2"/>
  <c r="E20" i="2"/>
  <c r="I20" i="2" s="1"/>
  <c r="D20" i="2"/>
  <c r="G19" i="2"/>
  <c r="E19" i="2"/>
  <c r="D19" i="2"/>
  <c r="G18" i="2"/>
  <c r="F18" i="2"/>
  <c r="H18" i="2" s="1"/>
  <c r="E18" i="2"/>
  <c r="I18" i="2" s="1"/>
  <c r="D18" i="2"/>
  <c r="G17" i="2"/>
  <c r="D17" i="2"/>
  <c r="G16" i="2"/>
  <c r="D16" i="2"/>
  <c r="G15" i="2"/>
  <c r="D15" i="2"/>
  <c r="G14" i="2"/>
  <c r="D14" i="2"/>
  <c r="E14" i="2" s="1"/>
  <c r="D13" i="2"/>
  <c r="E13" i="2" s="1"/>
  <c r="E12" i="2"/>
  <c r="D12" i="2"/>
  <c r="Q11" i="2"/>
  <c r="T10" i="2"/>
  <c r="M10" i="2" s="1"/>
  <c r="N10" i="2" s="1"/>
  <c r="R10" i="2"/>
  <c r="Q10" i="2"/>
  <c r="Q9" i="2"/>
  <c r="T8" i="2"/>
  <c r="M8" i="2" s="1"/>
  <c r="N8" i="2" s="1"/>
  <c r="Q8" i="2"/>
  <c r="Q7" i="2"/>
  <c r="Q6" i="2"/>
  <c r="R5" i="2"/>
  <c r="Q5" i="2"/>
  <c r="Q4" i="2"/>
  <c r="T3" i="2"/>
  <c r="M3" i="2" s="1"/>
  <c r="N3" i="2" s="1"/>
  <c r="R3" i="2"/>
  <c r="Q3" i="2"/>
  <c r="Q2" i="2"/>
  <c r="C28" i="1"/>
  <c r="C27" i="1"/>
  <c r="K46" i="2" s="1"/>
  <c r="C26" i="1"/>
  <c r="C25" i="1"/>
  <c r="C24" i="1"/>
  <c r="C23" i="1"/>
  <c r="C22" i="1"/>
  <c r="C24" i="3" s="1"/>
  <c r="C20" i="1"/>
  <c r="I36" i="2" l="1"/>
  <c r="L36" i="2" s="1"/>
  <c r="E41" i="2"/>
  <c r="K45" i="2"/>
  <c r="K74" i="2"/>
  <c r="I176" i="2"/>
  <c r="L176" i="2" s="1"/>
  <c r="I12" i="2"/>
  <c r="I31" i="2"/>
  <c r="L31" i="2" s="1"/>
  <c r="E29" i="2"/>
  <c r="F29" i="2"/>
  <c r="H29" i="2" s="1"/>
  <c r="U3" i="2"/>
  <c r="U8" i="2"/>
  <c r="F16" i="2"/>
  <c r="H16" i="2" s="1"/>
  <c r="F27" i="2"/>
  <c r="H27" i="2" s="1"/>
  <c r="I63" i="2"/>
  <c r="K134" i="2"/>
  <c r="I13" i="2"/>
  <c r="F13" i="2"/>
  <c r="K13" i="2"/>
  <c r="K57" i="2"/>
  <c r="F68" i="2"/>
  <c r="H68" i="2" s="1"/>
  <c r="I24" i="2"/>
  <c r="L24" i="2" s="1"/>
  <c r="J18" i="2"/>
  <c r="L18" i="2" s="1"/>
  <c r="K43" i="2"/>
  <c r="J48" i="2"/>
  <c r="I14" i="2"/>
  <c r="L14" i="2" s="1"/>
  <c r="K18" i="2"/>
  <c r="J46" i="2"/>
  <c r="L46" i="2" s="1"/>
  <c r="E61" i="2"/>
  <c r="F14" i="2"/>
  <c r="H14" i="2" s="1"/>
  <c r="K25" i="2"/>
  <c r="J199" i="2"/>
  <c r="J187" i="2"/>
  <c r="J175" i="2"/>
  <c r="J163" i="2"/>
  <c r="J151" i="2"/>
  <c r="J139" i="2"/>
  <c r="J194" i="2"/>
  <c r="J182" i="2"/>
  <c r="J170" i="2"/>
  <c r="J158" i="2"/>
  <c r="J146" i="2"/>
  <c r="J201" i="2"/>
  <c r="J189" i="2"/>
  <c r="J177" i="2"/>
  <c r="J165" i="2"/>
  <c r="J153" i="2"/>
  <c r="J141" i="2"/>
  <c r="L141" i="2" s="1"/>
  <c r="J196" i="2"/>
  <c r="J184" i="2"/>
  <c r="J172" i="2"/>
  <c r="J160" i="2"/>
  <c r="J191" i="2"/>
  <c r="J179" i="2"/>
  <c r="J167" i="2"/>
  <c r="J155" i="2"/>
  <c r="J143" i="2"/>
  <c r="J198" i="2"/>
  <c r="J186" i="2"/>
  <c r="J174" i="2"/>
  <c r="L174" i="2" s="1"/>
  <c r="J162" i="2"/>
  <c r="L162" i="2" s="1"/>
  <c r="J150" i="2"/>
  <c r="L150" i="2" s="1"/>
  <c r="J193" i="2"/>
  <c r="J181" i="2"/>
  <c r="J169" i="2"/>
  <c r="J157" i="2"/>
  <c r="J200" i="2"/>
  <c r="J188" i="2"/>
  <c r="J176" i="2"/>
  <c r="J164" i="2"/>
  <c r="J152" i="2"/>
  <c r="J195" i="2"/>
  <c r="L195" i="2" s="1"/>
  <c r="J183" i="2"/>
  <c r="L183" i="2" s="1"/>
  <c r="J171" i="2"/>
  <c r="L171" i="2" s="1"/>
  <c r="J159" i="2"/>
  <c r="J147" i="2"/>
  <c r="J197" i="2"/>
  <c r="J185" i="2"/>
  <c r="J173" i="2"/>
  <c r="J161" i="2"/>
  <c r="J149" i="2"/>
  <c r="J142" i="2"/>
  <c r="J129" i="2"/>
  <c r="J117" i="2"/>
  <c r="J105" i="2"/>
  <c r="L105" i="2" s="1"/>
  <c r="J93" i="2"/>
  <c r="J136" i="2"/>
  <c r="J124" i="2"/>
  <c r="J112" i="2"/>
  <c r="J100" i="2"/>
  <c r="J88" i="2"/>
  <c r="J131" i="2"/>
  <c r="J119" i="2"/>
  <c r="J107" i="2"/>
  <c r="J95" i="2"/>
  <c r="J126" i="2"/>
  <c r="J114" i="2"/>
  <c r="J102" i="2"/>
  <c r="J138" i="2"/>
  <c r="J133" i="2"/>
  <c r="J121" i="2"/>
  <c r="J109" i="2"/>
  <c r="J97" i="2"/>
  <c r="J128" i="2"/>
  <c r="J116" i="2"/>
  <c r="J104" i="2"/>
  <c r="J140" i="2"/>
  <c r="J135" i="2"/>
  <c r="L135" i="2" s="1"/>
  <c r="J123" i="2"/>
  <c r="L123" i="2" s="1"/>
  <c r="J111" i="2"/>
  <c r="J99" i="2"/>
  <c r="J190" i="2"/>
  <c r="J178" i="2"/>
  <c r="J166" i="2"/>
  <c r="J154" i="2"/>
  <c r="J144" i="2"/>
  <c r="J130" i="2"/>
  <c r="J118" i="2"/>
  <c r="J106" i="2"/>
  <c r="J94" i="2"/>
  <c r="L94" i="2" s="1"/>
  <c r="J137" i="2"/>
  <c r="J125" i="2"/>
  <c r="J113" i="2"/>
  <c r="J101" i="2"/>
  <c r="J91" i="2"/>
  <c r="J89" i="2"/>
  <c r="J81" i="2"/>
  <c r="J69" i="2"/>
  <c r="J57" i="2"/>
  <c r="J45" i="2"/>
  <c r="J98" i="2"/>
  <c r="J76" i="2"/>
  <c r="J64" i="2"/>
  <c r="J52" i="2"/>
  <c r="J192" i="2"/>
  <c r="J156" i="2"/>
  <c r="J96" i="2"/>
  <c r="J83" i="2"/>
  <c r="J71" i="2"/>
  <c r="J59" i="2"/>
  <c r="J115" i="2"/>
  <c r="J92" i="2"/>
  <c r="J78" i="2"/>
  <c r="J66" i="2"/>
  <c r="J54" i="2"/>
  <c r="J148" i="2"/>
  <c r="J127" i="2"/>
  <c r="J103" i="2"/>
  <c r="J85" i="2"/>
  <c r="J73" i="2"/>
  <c r="J61" i="2"/>
  <c r="J49" i="2"/>
  <c r="J80" i="2"/>
  <c r="J68" i="2"/>
  <c r="J56" i="2"/>
  <c r="J180" i="2"/>
  <c r="J87" i="2"/>
  <c r="L87" i="2" s="1"/>
  <c r="J75" i="2"/>
  <c r="J63" i="2"/>
  <c r="L63" i="2" s="1"/>
  <c r="J51" i="2"/>
  <c r="J108" i="2"/>
  <c r="J82" i="2"/>
  <c r="J70" i="2"/>
  <c r="J58" i="2"/>
  <c r="J145" i="2"/>
  <c r="J120" i="2"/>
  <c r="J77" i="2"/>
  <c r="J65" i="2"/>
  <c r="J53" i="2"/>
  <c r="J74" i="2"/>
  <c r="J43" i="2"/>
  <c r="J37" i="2"/>
  <c r="J25" i="2"/>
  <c r="L25" i="2" s="1"/>
  <c r="J13" i="2"/>
  <c r="J16" i="2"/>
  <c r="J60" i="2"/>
  <c r="J50" i="2"/>
  <c r="J42" i="2"/>
  <c r="J32" i="2"/>
  <c r="L32" i="2" s="1"/>
  <c r="J20" i="2"/>
  <c r="L20" i="2" s="1"/>
  <c r="J132" i="2"/>
  <c r="J39" i="2"/>
  <c r="J27" i="2"/>
  <c r="J15" i="2"/>
  <c r="K17" i="2"/>
  <c r="J55" i="2"/>
  <c r="J122" i="2"/>
  <c r="J62" i="2"/>
  <c r="J34" i="2"/>
  <c r="J22" i="2"/>
  <c r="J29" i="2"/>
  <c r="J17" i="2"/>
  <c r="K12" i="2"/>
  <c r="J168" i="2"/>
  <c r="J110" i="2"/>
  <c r="J79" i="2"/>
  <c r="J41" i="2"/>
  <c r="J36" i="2"/>
  <c r="J24" i="2"/>
  <c r="J12" i="2"/>
  <c r="J40" i="2"/>
  <c r="J67" i="2"/>
  <c r="J31" i="2"/>
  <c r="J19" i="2"/>
  <c r="K86" i="2"/>
  <c r="K35" i="2"/>
  <c r="L35" i="2" s="1"/>
  <c r="J38" i="2"/>
  <c r="J26" i="2"/>
  <c r="J14" i="2"/>
  <c r="J28" i="2"/>
  <c r="J134" i="2"/>
  <c r="J84" i="2"/>
  <c r="J33" i="2"/>
  <c r="L33" i="2" s="1"/>
  <c r="J21" i="2"/>
  <c r="L21" i="2" s="1"/>
  <c r="K23" i="2"/>
  <c r="E17" i="2"/>
  <c r="F17" i="2"/>
  <c r="H17" i="2" s="1"/>
  <c r="L19" i="2"/>
  <c r="I19" i="2"/>
  <c r="J30" i="2"/>
  <c r="L30" i="2" s="1"/>
  <c r="I38" i="2"/>
  <c r="L38" i="2" s="1"/>
  <c r="G13" i="2"/>
  <c r="G12" i="2"/>
  <c r="F19" i="2"/>
  <c r="H19" i="2" s="1"/>
  <c r="J23" i="2"/>
  <c r="L23" i="2" s="1"/>
  <c r="I26" i="2"/>
  <c r="L26" i="2" s="1"/>
  <c r="K30" i="2"/>
  <c r="K49" i="2"/>
  <c r="J72" i="2"/>
  <c r="F31" i="2"/>
  <c r="H31" i="2" s="1"/>
  <c r="F36" i="2"/>
  <c r="H36" i="2" s="1"/>
  <c r="D202" i="2"/>
  <c r="C12" i="3"/>
  <c r="F12" i="2"/>
  <c r="F24" i="2"/>
  <c r="H24" i="2" s="1"/>
  <c r="F26" i="2"/>
  <c r="H26" i="2" s="1"/>
  <c r="K37" i="2"/>
  <c r="J86" i="2"/>
  <c r="J90" i="2"/>
  <c r="K16" i="2"/>
  <c r="E22" i="2"/>
  <c r="K28" i="2"/>
  <c r="E34" i="2"/>
  <c r="F34" i="2" s="1"/>
  <c r="H34" i="2" s="1"/>
  <c r="K40" i="2"/>
  <c r="F54" i="2"/>
  <c r="H54" i="2" s="1"/>
  <c r="E54" i="2"/>
  <c r="K55" i="2"/>
  <c r="F73" i="2"/>
  <c r="H73" i="2" s="1"/>
  <c r="I75" i="2"/>
  <c r="L75" i="2" s="1"/>
  <c r="T5" i="2"/>
  <c r="M5" i="2" s="1"/>
  <c r="N5" i="2" s="1"/>
  <c r="U10" i="2"/>
  <c r="Q202" i="2"/>
  <c r="R7" i="2"/>
  <c r="E15" i="2"/>
  <c r="K21" i="2"/>
  <c r="E27" i="2"/>
  <c r="K33" i="2"/>
  <c r="E39" i="2"/>
  <c r="F39" i="2" s="1"/>
  <c r="H39" i="2" s="1"/>
  <c r="I58" i="2"/>
  <c r="L58" i="2" s="1"/>
  <c r="K69" i="2"/>
  <c r="E73" i="2"/>
  <c r="F75" i="2"/>
  <c r="H75" i="2" s="1"/>
  <c r="F110" i="2"/>
  <c r="H110" i="2" s="1"/>
  <c r="F128" i="2"/>
  <c r="H128" i="2" s="1"/>
  <c r="K194" i="2"/>
  <c r="K182" i="2"/>
  <c r="K170" i="2"/>
  <c r="K158" i="2"/>
  <c r="K146" i="2"/>
  <c r="K201" i="2"/>
  <c r="K189" i="2"/>
  <c r="K177" i="2"/>
  <c r="K165" i="2"/>
  <c r="K153" i="2"/>
  <c r="K141" i="2"/>
  <c r="K196" i="2"/>
  <c r="K184" i="2"/>
  <c r="K172" i="2"/>
  <c r="K160" i="2"/>
  <c r="K148" i="2"/>
  <c r="K191" i="2"/>
  <c r="K179" i="2"/>
  <c r="K167" i="2"/>
  <c r="K155" i="2"/>
  <c r="K198" i="2"/>
  <c r="K186" i="2"/>
  <c r="K174" i="2"/>
  <c r="K162" i="2"/>
  <c r="K150" i="2"/>
  <c r="K138" i="2"/>
  <c r="K193" i="2"/>
  <c r="K181" i="2"/>
  <c r="K169" i="2"/>
  <c r="K157" i="2"/>
  <c r="K200" i="2"/>
  <c r="K188" i="2"/>
  <c r="K176" i="2"/>
  <c r="K164" i="2"/>
  <c r="K152" i="2"/>
  <c r="L152" i="2" s="1"/>
  <c r="K195" i="2"/>
  <c r="K183" i="2"/>
  <c r="K171" i="2"/>
  <c r="K159" i="2"/>
  <c r="K147" i="2"/>
  <c r="K190" i="2"/>
  <c r="K178" i="2"/>
  <c r="K166" i="2"/>
  <c r="K154" i="2"/>
  <c r="K142" i="2"/>
  <c r="K192" i="2"/>
  <c r="K180" i="2"/>
  <c r="K168" i="2"/>
  <c r="K156" i="2"/>
  <c r="K144" i="2"/>
  <c r="K136" i="2"/>
  <c r="K124" i="2"/>
  <c r="K112" i="2"/>
  <c r="K100" i="2"/>
  <c r="K199" i="2"/>
  <c r="K187" i="2"/>
  <c r="K175" i="2"/>
  <c r="K163" i="2"/>
  <c r="K149" i="2"/>
  <c r="K131" i="2"/>
  <c r="K119" i="2"/>
  <c r="K107" i="2"/>
  <c r="K95" i="2"/>
  <c r="K143" i="2"/>
  <c r="K126" i="2"/>
  <c r="K114" i="2"/>
  <c r="K102" i="2"/>
  <c r="K90" i="2"/>
  <c r="K151" i="2"/>
  <c r="K133" i="2"/>
  <c r="K121" i="2"/>
  <c r="K109" i="2"/>
  <c r="K97" i="2"/>
  <c r="K128" i="2"/>
  <c r="K116" i="2"/>
  <c r="K104" i="2"/>
  <c r="K92" i="2"/>
  <c r="K140" i="2"/>
  <c r="K139" i="2"/>
  <c r="K135" i="2"/>
  <c r="K123" i="2"/>
  <c r="K111" i="2"/>
  <c r="K130" i="2"/>
  <c r="L130" i="2" s="1"/>
  <c r="K118" i="2"/>
  <c r="L118" i="2" s="1"/>
  <c r="K106" i="2"/>
  <c r="K94" i="2"/>
  <c r="K137" i="2"/>
  <c r="K125" i="2"/>
  <c r="K113" i="2"/>
  <c r="K101" i="2"/>
  <c r="K132" i="2"/>
  <c r="K120" i="2"/>
  <c r="K108" i="2"/>
  <c r="K96" i="2"/>
  <c r="K98" i="2"/>
  <c r="K76" i="2"/>
  <c r="K64" i="2"/>
  <c r="K52" i="2"/>
  <c r="K83" i="2"/>
  <c r="K71" i="2"/>
  <c r="K59" i="2"/>
  <c r="K47" i="2"/>
  <c r="K115" i="2"/>
  <c r="K88" i="2"/>
  <c r="K78" i="2"/>
  <c r="K66" i="2"/>
  <c r="K173" i="2"/>
  <c r="L173" i="2" s="1"/>
  <c r="K127" i="2"/>
  <c r="K117" i="2"/>
  <c r="K103" i="2"/>
  <c r="K85" i="2"/>
  <c r="K73" i="2"/>
  <c r="K61" i="2"/>
  <c r="K129" i="2"/>
  <c r="K105" i="2"/>
  <c r="K80" i="2"/>
  <c r="K68" i="2"/>
  <c r="K56" i="2"/>
  <c r="K44" i="2"/>
  <c r="L44" i="2" s="1"/>
  <c r="K99" i="2"/>
  <c r="K87" i="2"/>
  <c r="K75" i="2"/>
  <c r="K63" i="2"/>
  <c r="K51" i="2"/>
  <c r="L51" i="2" s="1"/>
  <c r="K93" i="2"/>
  <c r="K82" i="2"/>
  <c r="K70" i="2"/>
  <c r="K58" i="2"/>
  <c r="K197" i="2"/>
  <c r="K161" i="2"/>
  <c r="K145" i="2"/>
  <c r="L145" i="2" s="1"/>
  <c r="K77" i="2"/>
  <c r="K65" i="2"/>
  <c r="K53" i="2"/>
  <c r="K110" i="2"/>
  <c r="K84" i="2"/>
  <c r="K72" i="2"/>
  <c r="K60" i="2"/>
  <c r="L60" i="2" s="1"/>
  <c r="K48" i="2"/>
  <c r="R2" i="2"/>
  <c r="T7" i="2"/>
  <c r="M7" i="2" s="1"/>
  <c r="N7" i="2" s="1"/>
  <c r="K14" i="2"/>
  <c r="K26" i="2"/>
  <c r="K38" i="2"/>
  <c r="K54" i="2"/>
  <c r="I56" i="2"/>
  <c r="L56" i="2" s="1"/>
  <c r="K81" i="2"/>
  <c r="F85" i="2"/>
  <c r="H85" i="2" s="1"/>
  <c r="I87" i="2"/>
  <c r="C21" i="1"/>
  <c r="T2" i="2"/>
  <c r="U7" i="2"/>
  <c r="R9" i="2"/>
  <c r="K19" i="2"/>
  <c r="F20" i="2"/>
  <c r="H20" i="2" s="1"/>
  <c r="K31" i="2"/>
  <c r="F32" i="2"/>
  <c r="H32" i="2" s="1"/>
  <c r="H51" i="2"/>
  <c r="K67" i="2"/>
  <c r="L67" i="2" s="1"/>
  <c r="I85" i="2"/>
  <c r="L85" i="2" s="1"/>
  <c r="H87" i="2"/>
  <c r="K91" i="2"/>
  <c r="F97" i="2"/>
  <c r="H97" i="2" s="1"/>
  <c r="R4" i="2"/>
  <c r="T9" i="2"/>
  <c r="M9" i="2" s="1"/>
  <c r="N9" i="2" s="1"/>
  <c r="K24" i="2"/>
  <c r="K36" i="2"/>
  <c r="K41" i="2"/>
  <c r="L43" i="2"/>
  <c r="E66" i="2"/>
  <c r="F66" i="2" s="1"/>
  <c r="H66" i="2" s="1"/>
  <c r="L70" i="2"/>
  <c r="I70" i="2"/>
  <c r="K79" i="2"/>
  <c r="K89" i="2"/>
  <c r="E97" i="2"/>
  <c r="K29" i="2"/>
  <c r="F45" i="2"/>
  <c r="H45" i="2" s="1"/>
  <c r="F48" i="2"/>
  <c r="H48" i="2" s="1"/>
  <c r="F49" i="2"/>
  <c r="H49" i="2" s="1"/>
  <c r="F50" i="2"/>
  <c r="H50" i="2" s="1"/>
  <c r="E53" i="2"/>
  <c r="E68" i="2"/>
  <c r="F70" i="2"/>
  <c r="H70" i="2" s="1"/>
  <c r="I82" i="2"/>
  <c r="L82" i="2" s="1"/>
  <c r="K185" i="2"/>
  <c r="L185" i="2" s="1"/>
  <c r="C23" i="3"/>
  <c r="T4" i="2"/>
  <c r="M4" i="2" s="1"/>
  <c r="N4" i="2" s="1"/>
  <c r="R6" i="2"/>
  <c r="T11" i="2"/>
  <c r="E16" i="2"/>
  <c r="K22" i="2"/>
  <c r="E28" i="2"/>
  <c r="K34" i="2"/>
  <c r="E40" i="2"/>
  <c r="F40" i="2" s="1"/>
  <c r="H40" i="2" s="1"/>
  <c r="I42" i="2"/>
  <c r="L42" i="2" s="1"/>
  <c r="E45" i="2"/>
  <c r="F46" i="2"/>
  <c r="H46" i="2" s="1"/>
  <c r="L47" i="2"/>
  <c r="E48" i="2"/>
  <c r="E49" i="2"/>
  <c r="K62" i="2"/>
  <c r="L72" i="2"/>
  <c r="E78" i="2"/>
  <c r="E80" i="2"/>
  <c r="F80" i="2" s="1"/>
  <c r="H80" i="2" s="1"/>
  <c r="F82" i="2"/>
  <c r="H82" i="2" s="1"/>
  <c r="K122" i="2"/>
  <c r="L129" i="2"/>
  <c r="F139" i="2"/>
  <c r="H139" i="2" s="1"/>
  <c r="E139" i="2"/>
  <c r="F190" i="2"/>
  <c r="H190" i="2" s="1"/>
  <c r="L84" i="2"/>
  <c r="T6" i="2"/>
  <c r="M6" i="2" s="1"/>
  <c r="N6" i="2" s="1"/>
  <c r="K15" i="2"/>
  <c r="K27" i="2"/>
  <c r="K39" i="2"/>
  <c r="I43" i="2"/>
  <c r="L55" i="2"/>
  <c r="I112" i="2"/>
  <c r="L112" i="2" s="1"/>
  <c r="F112" i="2"/>
  <c r="H112" i="2" s="1"/>
  <c r="R11" i="2"/>
  <c r="R8" i="2"/>
  <c r="K20" i="2"/>
  <c r="K32" i="2"/>
  <c r="K42" i="2"/>
  <c r="K50" i="2"/>
  <c r="F86" i="2"/>
  <c r="H86" i="2" s="1"/>
  <c r="L88" i="2"/>
  <c r="I116" i="2"/>
  <c r="L116" i="2" s="1"/>
  <c r="L79" i="2"/>
  <c r="I93" i="2"/>
  <c r="F93" i="2"/>
  <c r="H93" i="2" s="1"/>
  <c r="I99" i="2"/>
  <c r="L99" i="2" s="1"/>
  <c r="L147" i="2"/>
  <c r="L158" i="2"/>
  <c r="L194" i="2"/>
  <c r="H99" i="2"/>
  <c r="L103" i="2"/>
  <c r="F133" i="2"/>
  <c r="H133" i="2" s="1"/>
  <c r="I135" i="2"/>
  <c r="I140" i="2"/>
  <c r="L140" i="2" s="1"/>
  <c r="E52" i="2"/>
  <c r="F59" i="2"/>
  <c r="H59" i="2" s="1"/>
  <c r="F71" i="2"/>
  <c r="H71" i="2" s="1"/>
  <c r="F96" i="2"/>
  <c r="H96" i="2" s="1"/>
  <c r="E96" i="2"/>
  <c r="F113" i="2"/>
  <c r="H113" i="2" s="1"/>
  <c r="L115" i="2"/>
  <c r="F121" i="2"/>
  <c r="H121" i="2" s="1"/>
  <c r="I123" i="2"/>
  <c r="I133" i="2"/>
  <c r="L133" i="2" s="1"/>
  <c r="I188" i="2"/>
  <c r="L188" i="2" s="1"/>
  <c r="E57" i="2"/>
  <c r="F57" i="2" s="1"/>
  <c r="H57" i="2" s="1"/>
  <c r="E69" i="2"/>
  <c r="F69" i="2" s="1"/>
  <c r="H69" i="2" s="1"/>
  <c r="E81" i="2"/>
  <c r="F109" i="2"/>
  <c r="H109" i="2" s="1"/>
  <c r="I111" i="2"/>
  <c r="L111" i="2" s="1"/>
  <c r="E121" i="2"/>
  <c r="F123" i="2"/>
  <c r="H123" i="2" s="1"/>
  <c r="L127" i="2"/>
  <c r="F166" i="2"/>
  <c r="H166" i="2" s="1"/>
  <c r="F188" i="2"/>
  <c r="H188" i="2" s="1"/>
  <c r="E62" i="2"/>
  <c r="F62" i="2" s="1"/>
  <c r="H62" i="2" s="1"/>
  <c r="E74" i="2"/>
  <c r="E86" i="2"/>
  <c r="F89" i="2"/>
  <c r="H89" i="2" s="1"/>
  <c r="E90" i="2"/>
  <c r="F90" i="2" s="1"/>
  <c r="H90" i="2" s="1"/>
  <c r="F91" i="2"/>
  <c r="H91" i="2" s="1"/>
  <c r="E109" i="2"/>
  <c r="F111" i="2"/>
  <c r="H111" i="2" s="1"/>
  <c r="L170" i="2"/>
  <c r="I59" i="2"/>
  <c r="L59" i="2" s="1"/>
  <c r="I71" i="2"/>
  <c r="L71" i="2" s="1"/>
  <c r="I83" i="2"/>
  <c r="L83" i="2" s="1"/>
  <c r="I88" i="2"/>
  <c r="E98" i="2"/>
  <c r="F138" i="2"/>
  <c r="H138" i="2" s="1"/>
  <c r="L92" i="2"/>
  <c r="I138" i="2"/>
  <c r="L138" i="2" s="1"/>
  <c r="I144" i="2"/>
  <c r="L144" i="2"/>
  <c r="L164" i="2"/>
  <c r="I164" i="2"/>
  <c r="L200" i="2"/>
  <c r="I200" i="2"/>
  <c r="E65" i="2"/>
  <c r="E77" i="2"/>
  <c r="I89" i="2"/>
  <c r="L89" i="2" s="1"/>
  <c r="F95" i="2"/>
  <c r="H95" i="2" s="1"/>
  <c r="E102" i="2"/>
  <c r="F102" i="2" s="1"/>
  <c r="H102" i="2" s="1"/>
  <c r="E104" i="2"/>
  <c r="F126" i="2"/>
  <c r="H126" i="2" s="1"/>
  <c r="E126" i="2"/>
  <c r="E128" i="2"/>
  <c r="I130" i="2"/>
  <c r="I136" i="2"/>
  <c r="L136" i="2" s="1"/>
  <c r="F136" i="2"/>
  <c r="H136" i="2" s="1"/>
  <c r="F144" i="2"/>
  <c r="H144" i="2" s="1"/>
  <c r="F178" i="2"/>
  <c r="H178" i="2" s="1"/>
  <c r="F200" i="2"/>
  <c r="H200" i="2" s="1"/>
  <c r="F100" i="2"/>
  <c r="H100" i="2" s="1"/>
  <c r="F114" i="2"/>
  <c r="H114" i="2" s="1"/>
  <c r="E114" i="2"/>
  <c r="I118" i="2"/>
  <c r="I124" i="2"/>
  <c r="L124" i="2" s="1"/>
  <c r="F124" i="2"/>
  <c r="H124" i="2" s="1"/>
  <c r="F130" i="2"/>
  <c r="H130" i="2" s="1"/>
  <c r="I150" i="2"/>
  <c r="L182" i="2"/>
  <c r="I162" i="2"/>
  <c r="I174" i="2"/>
  <c r="L186" i="2"/>
  <c r="I186" i="2"/>
  <c r="L198" i="2"/>
  <c r="I198" i="2"/>
  <c r="E95" i="2"/>
  <c r="E107" i="2"/>
  <c r="F107" i="2" s="1"/>
  <c r="H107" i="2" s="1"/>
  <c r="E119" i="2"/>
  <c r="F119" i="2" s="1"/>
  <c r="H119" i="2" s="1"/>
  <c r="E131" i="2"/>
  <c r="L157" i="2"/>
  <c r="I157" i="2"/>
  <c r="F157" i="2"/>
  <c r="H157" i="2" s="1"/>
  <c r="L159" i="2"/>
  <c r="F162" i="2"/>
  <c r="H162" i="2" s="1"/>
  <c r="I169" i="2"/>
  <c r="L169" i="2" s="1"/>
  <c r="F169" i="2"/>
  <c r="H169" i="2" s="1"/>
  <c r="F174" i="2"/>
  <c r="H174" i="2" s="1"/>
  <c r="I181" i="2"/>
  <c r="L181" i="2" s="1"/>
  <c r="F181" i="2"/>
  <c r="H181" i="2" s="1"/>
  <c r="F186" i="2"/>
  <c r="H186" i="2" s="1"/>
  <c r="I193" i="2"/>
  <c r="L193" i="2" s="1"/>
  <c r="F193" i="2"/>
  <c r="H193" i="2" s="1"/>
  <c r="F198" i="2"/>
  <c r="H198" i="2" s="1"/>
  <c r="F151" i="2"/>
  <c r="H151" i="2" s="1"/>
  <c r="E160" i="2"/>
  <c r="F172" i="2"/>
  <c r="H172" i="2" s="1"/>
  <c r="E172" i="2"/>
  <c r="F184" i="2"/>
  <c r="H184" i="2" s="1"/>
  <c r="E184" i="2"/>
  <c r="F196" i="2"/>
  <c r="H196" i="2" s="1"/>
  <c r="E196" i="2"/>
  <c r="F105" i="2"/>
  <c r="H105" i="2" s="1"/>
  <c r="E110" i="2"/>
  <c r="F117" i="2"/>
  <c r="H117" i="2" s="1"/>
  <c r="E122" i="2"/>
  <c r="F122" i="2" s="1"/>
  <c r="H122" i="2" s="1"/>
  <c r="F129" i="2"/>
  <c r="H129" i="2" s="1"/>
  <c r="E134" i="2"/>
  <c r="F146" i="2"/>
  <c r="H146" i="2" s="1"/>
  <c r="L153" i="2"/>
  <c r="I155" i="2"/>
  <c r="L155" i="2" s="1"/>
  <c r="L165" i="2"/>
  <c r="L167" i="2"/>
  <c r="I167" i="2"/>
  <c r="L177" i="2"/>
  <c r="I179" i="2"/>
  <c r="L179" i="2" s="1"/>
  <c r="L189" i="2"/>
  <c r="L191" i="2"/>
  <c r="I191" i="2"/>
  <c r="E142" i="2"/>
  <c r="I143" i="2"/>
  <c r="L143" i="2" s="1"/>
  <c r="F163" i="2"/>
  <c r="H163" i="2" s="1"/>
  <c r="F199" i="2"/>
  <c r="H199" i="2" s="1"/>
  <c r="E108" i="2"/>
  <c r="E120" i="2"/>
  <c r="E132" i="2"/>
  <c r="F132" i="2" s="1"/>
  <c r="H132" i="2" s="1"/>
  <c r="I149" i="2"/>
  <c r="L149" i="2" s="1"/>
  <c r="E101" i="2"/>
  <c r="E113" i="2"/>
  <c r="E125" i="2"/>
  <c r="E137" i="2"/>
  <c r="F137" i="2" s="1"/>
  <c r="H137" i="2" s="1"/>
  <c r="I145" i="2"/>
  <c r="F145" i="2"/>
  <c r="H145" i="2" s="1"/>
  <c r="L146" i="2"/>
  <c r="E148" i="2"/>
  <c r="I152" i="2"/>
  <c r="I156" i="2"/>
  <c r="F156" i="2"/>
  <c r="H156" i="2" s="1"/>
  <c r="L161" i="2"/>
  <c r="I168" i="2"/>
  <c r="F168" i="2"/>
  <c r="H168" i="2" s="1"/>
  <c r="I180" i="2"/>
  <c r="F180" i="2"/>
  <c r="H180" i="2" s="1"/>
  <c r="F192" i="2"/>
  <c r="H192" i="2" s="1"/>
  <c r="L197" i="2"/>
  <c r="E151" i="2"/>
  <c r="F158" i="2"/>
  <c r="H158" i="2" s="1"/>
  <c r="E163" i="2"/>
  <c r="F170" i="2"/>
  <c r="H170" i="2" s="1"/>
  <c r="E175" i="2"/>
  <c r="F175" i="2" s="1"/>
  <c r="H175" i="2" s="1"/>
  <c r="F182" i="2"/>
  <c r="H182" i="2" s="1"/>
  <c r="E187" i="2"/>
  <c r="F187" i="2" s="1"/>
  <c r="H187" i="2" s="1"/>
  <c r="E199" i="2"/>
  <c r="E192" i="2"/>
  <c r="I201" i="2"/>
  <c r="L201" i="2" s="1"/>
  <c r="E154" i="2"/>
  <c r="E166" i="2"/>
  <c r="E178" i="2"/>
  <c r="E190" i="2"/>
  <c r="I120" i="2" l="1"/>
  <c r="L120" i="2" s="1"/>
  <c r="I131" i="2"/>
  <c r="L131" i="2" s="1"/>
  <c r="I199" i="2"/>
  <c r="L199" i="2" s="1"/>
  <c r="L180" i="2"/>
  <c r="I95" i="2"/>
  <c r="L95" i="2" s="1"/>
  <c r="I109" i="2"/>
  <c r="L109" i="2" s="1"/>
  <c r="I121" i="2"/>
  <c r="L121" i="2" s="1"/>
  <c r="I139" i="2"/>
  <c r="L139" i="2" s="1"/>
  <c r="I49" i="2"/>
  <c r="L49" i="2" s="1"/>
  <c r="L106" i="2"/>
  <c r="I134" i="2"/>
  <c r="L134" i="2"/>
  <c r="I108" i="2"/>
  <c r="L108" i="2" s="1"/>
  <c r="I22" i="2"/>
  <c r="L22" i="2" s="1"/>
  <c r="L64" i="2"/>
  <c r="L76" i="2"/>
  <c r="I187" i="2"/>
  <c r="L187" i="2" s="1"/>
  <c r="I110" i="2"/>
  <c r="L110" i="2"/>
  <c r="F131" i="2"/>
  <c r="H131" i="2" s="1"/>
  <c r="I48" i="2"/>
  <c r="L48" i="2" s="1"/>
  <c r="I16" i="2"/>
  <c r="L16" i="2" s="1"/>
  <c r="I15" i="2"/>
  <c r="L15" i="2" s="1"/>
  <c r="C19" i="3"/>
  <c r="G202" i="2"/>
  <c r="F22" i="2"/>
  <c r="H22" i="2" s="1"/>
  <c r="L119" i="2"/>
  <c r="I119" i="2"/>
  <c r="U6" i="2"/>
  <c r="I107" i="2"/>
  <c r="L107" i="2" s="1"/>
  <c r="I52" i="2"/>
  <c r="L52" i="2" s="1"/>
  <c r="M12" i="2"/>
  <c r="S12" i="2" s="1"/>
  <c r="T12" i="2" s="1"/>
  <c r="M11" i="2"/>
  <c r="F52" i="2"/>
  <c r="H52" i="2" s="1"/>
  <c r="M2" i="2"/>
  <c r="R202" i="2"/>
  <c r="I73" i="2"/>
  <c r="L73" i="2" s="1"/>
  <c r="L50" i="2"/>
  <c r="I41" i="2"/>
  <c r="L41" i="2" s="1"/>
  <c r="H12" i="2"/>
  <c r="I61" i="2"/>
  <c r="L61" i="2" s="1"/>
  <c r="I175" i="2"/>
  <c r="L175" i="2"/>
  <c r="L168" i="2"/>
  <c r="I137" i="2"/>
  <c r="L137" i="2" s="1"/>
  <c r="I196" i="2"/>
  <c r="L196" i="2" s="1"/>
  <c r="F134" i="2"/>
  <c r="H134" i="2" s="1"/>
  <c r="I77" i="2"/>
  <c r="L77" i="2" s="1"/>
  <c r="I90" i="2"/>
  <c r="L90" i="2" s="1"/>
  <c r="U5" i="2"/>
  <c r="I54" i="2"/>
  <c r="L54" i="2" s="1"/>
  <c r="J202" i="2"/>
  <c r="F61" i="2"/>
  <c r="H61" i="2" s="1"/>
  <c r="I29" i="2"/>
  <c r="L29" i="2" s="1"/>
  <c r="F41" i="2"/>
  <c r="H41" i="2" s="1"/>
  <c r="I192" i="2"/>
  <c r="L192" i="2"/>
  <c r="I125" i="2"/>
  <c r="L125" i="2" s="1"/>
  <c r="I142" i="2"/>
  <c r="L142" i="2" s="1"/>
  <c r="F120" i="2"/>
  <c r="H120" i="2" s="1"/>
  <c r="L65" i="2"/>
  <c r="I65" i="2"/>
  <c r="I98" i="2"/>
  <c r="L98" i="2"/>
  <c r="L93" i="2"/>
  <c r="I45" i="2"/>
  <c r="L45" i="2" s="1"/>
  <c r="U4" i="2"/>
  <c r="I97" i="2"/>
  <c r="L97" i="2" s="1"/>
  <c r="F65" i="2"/>
  <c r="H65" i="2" s="1"/>
  <c r="H13" i="2"/>
  <c r="L104" i="2"/>
  <c r="I104" i="2"/>
  <c r="I28" i="2"/>
  <c r="L28" i="2" s="1"/>
  <c r="I27" i="2"/>
  <c r="L27" i="2" s="1"/>
  <c r="I163" i="2"/>
  <c r="L163" i="2"/>
  <c r="I113" i="2"/>
  <c r="L113" i="2" s="1"/>
  <c r="F142" i="2"/>
  <c r="H142" i="2" s="1"/>
  <c r="L184" i="2"/>
  <c r="I184" i="2"/>
  <c r="F98" i="2"/>
  <c r="H98" i="2" s="1"/>
  <c r="I86" i="2"/>
  <c r="L86" i="2"/>
  <c r="F125" i="2"/>
  <c r="H125" i="2" s="1"/>
  <c r="I80" i="2"/>
  <c r="L80" i="2" s="1"/>
  <c r="U9" i="2"/>
  <c r="L68" i="2"/>
  <c r="I68" i="2"/>
  <c r="L100" i="2"/>
  <c r="F28" i="2"/>
  <c r="H28" i="2" s="1"/>
  <c r="L13" i="2"/>
  <c r="I160" i="2"/>
  <c r="L160" i="2" s="1"/>
  <c r="I66" i="2"/>
  <c r="L66" i="2" s="1"/>
  <c r="L117" i="2"/>
  <c r="I190" i="2"/>
  <c r="L190" i="2" s="1"/>
  <c r="I74" i="2"/>
  <c r="L74" i="2"/>
  <c r="I81" i="2"/>
  <c r="L81" i="2"/>
  <c r="I78" i="2"/>
  <c r="L78" i="2" s="1"/>
  <c r="I53" i="2"/>
  <c r="L53" i="2" s="1"/>
  <c r="F15" i="2"/>
  <c r="H15" i="2" s="1"/>
  <c r="L91" i="2"/>
  <c r="I148" i="2"/>
  <c r="L148" i="2" s="1"/>
  <c r="F148" i="2"/>
  <c r="H148" i="2" s="1"/>
  <c r="I122" i="2"/>
  <c r="L122" i="2"/>
  <c r="L101" i="2"/>
  <c r="I101" i="2"/>
  <c r="I178" i="2"/>
  <c r="L178" i="2" s="1"/>
  <c r="I151" i="2"/>
  <c r="L151" i="2"/>
  <c r="L172" i="2"/>
  <c r="I172" i="2"/>
  <c r="I114" i="2"/>
  <c r="L114" i="2" s="1"/>
  <c r="L128" i="2"/>
  <c r="I128" i="2"/>
  <c r="I62" i="2"/>
  <c r="L62" i="2" s="1"/>
  <c r="I69" i="2"/>
  <c r="L69" i="2"/>
  <c r="I96" i="2"/>
  <c r="L96" i="2" s="1"/>
  <c r="F101" i="2"/>
  <c r="H101" i="2" s="1"/>
  <c r="F78" i="2"/>
  <c r="H78" i="2" s="1"/>
  <c r="I40" i="2"/>
  <c r="L40" i="2" s="1"/>
  <c r="F53" i="2"/>
  <c r="H53" i="2" s="1"/>
  <c r="I39" i="2"/>
  <c r="L39" i="2" s="1"/>
  <c r="F81" i="2"/>
  <c r="H81" i="2" s="1"/>
  <c r="I34" i="2"/>
  <c r="L34" i="2" s="1"/>
  <c r="L37" i="2"/>
  <c r="L12" i="2"/>
  <c r="L154" i="2"/>
  <c r="I154" i="2"/>
  <c r="E202" i="2"/>
  <c r="F160" i="2"/>
  <c r="H160" i="2" s="1"/>
  <c r="F154" i="2"/>
  <c r="H154" i="2" s="1"/>
  <c r="C20" i="3"/>
  <c r="K202" i="2"/>
  <c r="I102" i="2"/>
  <c r="L102" i="2" s="1"/>
  <c r="F104" i="2"/>
  <c r="H104" i="2" s="1"/>
  <c r="I17" i="2"/>
  <c r="L17" i="2" s="1"/>
  <c r="L156" i="2"/>
  <c r="I166" i="2"/>
  <c r="L166" i="2" s="1"/>
  <c r="I132" i="2"/>
  <c r="L132" i="2" s="1"/>
  <c r="L126" i="2"/>
  <c r="I126" i="2"/>
  <c r="I57" i="2"/>
  <c r="L57" i="2"/>
  <c r="F108" i="2"/>
  <c r="H108" i="2" s="1"/>
  <c r="F74" i="2"/>
  <c r="H74" i="2" s="1"/>
  <c r="F77" i="2"/>
  <c r="H77" i="2" s="1"/>
  <c r="C13" i="3"/>
  <c r="M13" i="2" l="1"/>
  <c r="S13" i="2" s="1"/>
  <c r="T13" i="2" s="1"/>
  <c r="I202" i="2"/>
  <c r="C14" i="3"/>
  <c r="L202" i="2"/>
  <c r="N12" i="2"/>
  <c r="C18" i="3"/>
  <c r="H202" i="2"/>
  <c r="N11" i="2"/>
  <c r="U11" i="2"/>
  <c r="N13" i="2"/>
  <c r="F202" i="2"/>
  <c r="N2" i="2"/>
  <c r="U2" i="2"/>
  <c r="M14" i="2" l="1"/>
  <c r="O12" i="2"/>
  <c r="P12" i="2"/>
  <c r="V2" i="2"/>
  <c r="O13" i="2"/>
  <c r="P13" i="2" s="1"/>
  <c r="U13" i="2" s="1"/>
  <c r="V3" i="2" l="1"/>
  <c r="V4" i="2" s="1"/>
  <c r="V5" i="2" s="1"/>
  <c r="V6" i="2" s="1"/>
  <c r="V7" i="2" s="1"/>
  <c r="V8" i="2" s="1"/>
  <c r="V9" i="2" s="1"/>
  <c r="U12" i="2"/>
  <c r="S14" i="2"/>
  <c r="N14" i="2"/>
  <c r="O14" i="2" l="1"/>
  <c r="T14" i="2"/>
  <c r="V10" i="2"/>
  <c r="V11" i="2" s="1"/>
  <c r="V12" i="2" s="1"/>
  <c r="V13" i="2" s="1"/>
  <c r="M15" i="2" l="1"/>
  <c r="P14" i="2"/>
  <c r="S15" i="2" l="1"/>
  <c r="N15" i="2"/>
  <c r="U14" i="2"/>
  <c r="O15" i="2" l="1"/>
  <c r="V14" i="2"/>
  <c r="T15" i="2"/>
  <c r="M16" i="2" l="1"/>
  <c r="P15" i="2"/>
  <c r="U15" i="2" l="1"/>
  <c r="S16" i="2"/>
  <c r="N16" i="2"/>
  <c r="O16" i="2" l="1"/>
  <c r="T16" i="2"/>
  <c r="V15" i="2"/>
  <c r="M17" i="2" l="1"/>
  <c r="P16" i="2"/>
  <c r="U16" i="2" l="1"/>
  <c r="S17" i="2"/>
  <c r="T17" i="2" s="1"/>
  <c r="N17" i="2"/>
  <c r="M18" i="2" l="1"/>
  <c r="O17" i="2"/>
  <c r="V16" i="2"/>
  <c r="P17" i="2" l="1"/>
  <c r="S18" i="2"/>
  <c r="T18" i="2" s="1"/>
  <c r="N18" i="2"/>
  <c r="U17" i="2" l="1"/>
  <c r="V17" i="2" s="1"/>
  <c r="O18" i="2"/>
  <c r="P18" i="2" s="1"/>
  <c r="U18" i="2" s="1"/>
  <c r="M19" i="2"/>
  <c r="S19" i="2" l="1"/>
  <c r="T19" i="2" s="1"/>
  <c r="N19" i="2"/>
  <c r="V18" i="2"/>
  <c r="O19" i="2" l="1"/>
  <c r="P19" i="2" s="1"/>
  <c r="U19" i="2" s="1"/>
  <c r="V19" i="2" s="1"/>
  <c r="M20" i="2"/>
  <c r="S20" i="2" l="1"/>
  <c r="T20" i="2" s="1"/>
  <c r="N20" i="2"/>
  <c r="M21" i="2" l="1"/>
  <c r="O20" i="2"/>
  <c r="P20" i="2" s="1"/>
  <c r="U20" i="2" s="1"/>
  <c r="V20" i="2" s="1"/>
  <c r="S21" i="2" l="1"/>
  <c r="T21" i="2" s="1"/>
  <c r="N21" i="2"/>
  <c r="O21" i="2" l="1"/>
  <c r="P21" i="2" s="1"/>
  <c r="U21" i="2" s="1"/>
  <c r="V21" i="2" s="1"/>
  <c r="M22" i="2"/>
  <c r="S22" i="2" l="1"/>
  <c r="T22" i="2" s="1"/>
  <c r="N22" i="2"/>
  <c r="O22" i="2" l="1"/>
  <c r="P22" i="2" s="1"/>
  <c r="U22" i="2" s="1"/>
  <c r="V22" i="2" s="1"/>
  <c r="M23" i="2"/>
  <c r="S23" i="2" l="1"/>
  <c r="T23" i="2" s="1"/>
  <c r="N23" i="2"/>
  <c r="M24" i="2" l="1"/>
  <c r="O23" i="2"/>
  <c r="P23" i="2" s="1"/>
  <c r="U23" i="2" s="1"/>
  <c r="V23" i="2" s="1"/>
  <c r="S24" i="2" l="1"/>
  <c r="T24" i="2" s="1"/>
  <c r="N24" i="2"/>
  <c r="M25" i="2" l="1"/>
  <c r="O24" i="2"/>
  <c r="P24" i="2" s="1"/>
  <c r="U24" i="2" s="1"/>
  <c r="V24" i="2" s="1"/>
  <c r="S25" i="2" l="1"/>
  <c r="T25" i="2" s="1"/>
  <c r="N25" i="2"/>
  <c r="O25" i="2" l="1"/>
  <c r="P25" i="2" s="1"/>
  <c r="U25" i="2" s="1"/>
  <c r="V25" i="2" s="1"/>
  <c r="M26" i="2"/>
  <c r="S26" i="2" l="1"/>
  <c r="T26" i="2" s="1"/>
  <c r="N26" i="2"/>
  <c r="O26" i="2" l="1"/>
  <c r="P26" i="2" s="1"/>
  <c r="U26" i="2" s="1"/>
  <c r="V26" i="2" s="1"/>
  <c r="M27" i="2"/>
  <c r="S27" i="2" l="1"/>
  <c r="T27" i="2" s="1"/>
  <c r="N27" i="2"/>
  <c r="M28" i="2" l="1"/>
  <c r="O27" i="2"/>
  <c r="P27" i="2" s="1"/>
  <c r="U27" i="2" s="1"/>
  <c r="V27" i="2" s="1"/>
  <c r="S28" i="2" l="1"/>
  <c r="T28" i="2" s="1"/>
  <c r="N28" i="2"/>
  <c r="O28" i="2" l="1"/>
  <c r="P28" i="2" s="1"/>
  <c r="U28" i="2" s="1"/>
  <c r="V28" i="2" s="1"/>
  <c r="M29" i="2"/>
  <c r="S29" i="2" l="1"/>
  <c r="T29" i="2" s="1"/>
  <c r="N29" i="2"/>
  <c r="M30" i="2" l="1"/>
  <c r="O29" i="2"/>
  <c r="P29" i="2" s="1"/>
  <c r="U29" i="2" s="1"/>
  <c r="V29" i="2" s="1"/>
  <c r="S30" i="2" l="1"/>
  <c r="T30" i="2" s="1"/>
  <c r="N30" i="2"/>
  <c r="O30" i="2" l="1"/>
  <c r="P30" i="2" s="1"/>
  <c r="U30" i="2" s="1"/>
  <c r="V30" i="2" s="1"/>
  <c r="M31" i="2"/>
  <c r="S31" i="2" l="1"/>
  <c r="T31" i="2" s="1"/>
  <c r="N31" i="2"/>
  <c r="O31" i="2" l="1"/>
  <c r="P31" i="2" s="1"/>
  <c r="U31" i="2" s="1"/>
  <c r="V31" i="2" s="1"/>
  <c r="M32" i="2"/>
  <c r="S32" i="2" l="1"/>
  <c r="T32" i="2" s="1"/>
  <c r="N32" i="2"/>
  <c r="O32" i="2" l="1"/>
  <c r="P32" i="2" s="1"/>
  <c r="U32" i="2" s="1"/>
  <c r="V32" i="2" s="1"/>
  <c r="M33" i="2"/>
  <c r="S33" i="2" l="1"/>
  <c r="T33" i="2" s="1"/>
  <c r="N33" i="2"/>
  <c r="O33" i="2" l="1"/>
  <c r="P33" i="2" s="1"/>
  <c r="U33" i="2" s="1"/>
  <c r="V33" i="2" s="1"/>
  <c r="M34" i="2"/>
  <c r="S34" i="2" l="1"/>
  <c r="T34" i="2" s="1"/>
  <c r="N34" i="2"/>
  <c r="O34" i="2" l="1"/>
  <c r="P34" i="2" s="1"/>
  <c r="U34" i="2" s="1"/>
  <c r="V34" i="2" s="1"/>
  <c r="M35" i="2"/>
  <c r="S35" i="2" l="1"/>
  <c r="T35" i="2" s="1"/>
  <c r="N35" i="2"/>
  <c r="M36" i="2" l="1"/>
  <c r="O35" i="2"/>
  <c r="P35" i="2" s="1"/>
  <c r="U35" i="2" s="1"/>
  <c r="V35" i="2" s="1"/>
  <c r="S36" i="2" l="1"/>
  <c r="T36" i="2" s="1"/>
  <c r="N36" i="2"/>
  <c r="M37" i="2" l="1"/>
  <c r="O36" i="2"/>
  <c r="P36" i="2" s="1"/>
  <c r="U36" i="2" s="1"/>
  <c r="V36" i="2" s="1"/>
  <c r="S37" i="2" l="1"/>
  <c r="T37" i="2" s="1"/>
  <c r="N37" i="2"/>
  <c r="O37" i="2" l="1"/>
  <c r="P37" i="2" s="1"/>
  <c r="U37" i="2" s="1"/>
  <c r="V37" i="2" s="1"/>
  <c r="M38" i="2"/>
  <c r="S38" i="2" l="1"/>
  <c r="T38" i="2" s="1"/>
  <c r="N38" i="2"/>
  <c r="O38" i="2" l="1"/>
  <c r="P38" i="2" s="1"/>
  <c r="U38" i="2" s="1"/>
  <c r="V38" i="2" s="1"/>
  <c r="M39" i="2"/>
  <c r="S39" i="2" l="1"/>
  <c r="T39" i="2" s="1"/>
  <c r="N39" i="2"/>
  <c r="O39" i="2" l="1"/>
  <c r="P39" i="2"/>
  <c r="U39" i="2" s="1"/>
  <c r="V39" i="2" s="1"/>
  <c r="M40" i="2"/>
  <c r="S40" i="2" l="1"/>
  <c r="T40" i="2" s="1"/>
  <c r="N40" i="2"/>
  <c r="M41" i="2" l="1"/>
  <c r="O40" i="2"/>
  <c r="P40" i="2" s="1"/>
  <c r="U40" i="2" s="1"/>
  <c r="V40" i="2" s="1"/>
  <c r="S41" i="2" l="1"/>
  <c r="T41" i="2" s="1"/>
  <c r="N41" i="2"/>
  <c r="M42" i="2" l="1"/>
  <c r="O41" i="2"/>
  <c r="P41" i="2" s="1"/>
  <c r="U41" i="2" s="1"/>
  <c r="V41" i="2" s="1"/>
  <c r="S42" i="2" l="1"/>
  <c r="T42" i="2" s="1"/>
  <c r="N42" i="2"/>
  <c r="O42" i="2" l="1"/>
  <c r="P42" i="2" s="1"/>
  <c r="U42" i="2" s="1"/>
  <c r="V42" i="2" s="1"/>
  <c r="M43" i="2"/>
  <c r="S43" i="2" l="1"/>
  <c r="T43" i="2" s="1"/>
  <c r="N43" i="2"/>
  <c r="O43" i="2" l="1"/>
  <c r="P43" i="2" s="1"/>
  <c r="U43" i="2" s="1"/>
  <c r="V43" i="2" s="1"/>
  <c r="M44" i="2"/>
  <c r="S44" i="2" l="1"/>
  <c r="T44" i="2" s="1"/>
  <c r="N44" i="2"/>
  <c r="O44" i="2" l="1"/>
  <c r="P44" i="2" s="1"/>
  <c r="U44" i="2" s="1"/>
  <c r="V44" i="2" s="1"/>
  <c r="M45" i="2"/>
  <c r="S45" i="2" l="1"/>
  <c r="T45" i="2" s="1"/>
  <c r="N45" i="2"/>
  <c r="O45" i="2" l="1"/>
  <c r="P45" i="2" s="1"/>
  <c r="U45" i="2" s="1"/>
  <c r="V45" i="2" s="1"/>
  <c r="M46" i="2"/>
  <c r="S46" i="2" l="1"/>
  <c r="T46" i="2" s="1"/>
  <c r="N46" i="2"/>
  <c r="M47" i="2" l="1"/>
  <c r="O46" i="2"/>
  <c r="P46" i="2" s="1"/>
  <c r="U46" i="2" s="1"/>
  <c r="V46" i="2" s="1"/>
  <c r="S47" i="2" l="1"/>
  <c r="T47" i="2" s="1"/>
  <c r="N47" i="2"/>
  <c r="M48" i="2" l="1"/>
  <c r="O47" i="2"/>
  <c r="P47" i="2" s="1"/>
  <c r="U47" i="2" s="1"/>
  <c r="V47" i="2" s="1"/>
  <c r="S48" i="2" l="1"/>
  <c r="T48" i="2" s="1"/>
  <c r="N48" i="2"/>
  <c r="M49" i="2" l="1"/>
  <c r="O48" i="2"/>
  <c r="P48" i="2"/>
  <c r="U48" i="2" s="1"/>
  <c r="V48" i="2" s="1"/>
  <c r="S49" i="2" l="1"/>
  <c r="T49" i="2" s="1"/>
  <c r="N49" i="2"/>
  <c r="M50" i="2" l="1"/>
  <c r="O49" i="2"/>
  <c r="P49" i="2" s="1"/>
  <c r="U49" i="2" s="1"/>
  <c r="V49" i="2" s="1"/>
  <c r="S50" i="2" l="1"/>
  <c r="T50" i="2" s="1"/>
  <c r="N50" i="2"/>
  <c r="O50" i="2" l="1"/>
  <c r="P50" i="2" s="1"/>
  <c r="U50" i="2" s="1"/>
  <c r="V50" i="2" s="1"/>
  <c r="M51" i="2"/>
  <c r="S51" i="2" l="1"/>
  <c r="T51" i="2" s="1"/>
  <c r="N51" i="2"/>
  <c r="O51" i="2" l="1"/>
  <c r="P51" i="2" s="1"/>
  <c r="U51" i="2" s="1"/>
  <c r="V51" i="2" s="1"/>
  <c r="M52" i="2"/>
  <c r="S52" i="2" l="1"/>
  <c r="T52" i="2" s="1"/>
  <c r="N52" i="2"/>
  <c r="M53" i="2" l="1"/>
  <c r="O52" i="2"/>
  <c r="P52" i="2" s="1"/>
  <c r="U52" i="2" s="1"/>
  <c r="V52" i="2" s="1"/>
  <c r="S53" i="2" l="1"/>
  <c r="T53" i="2" s="1"/>
  <c r="N53" i="2"/>
  <c r="M54" i="2" l="1"/>
  <c r="O53" i="2"/>
  <c r="P53" i="2" s="1"/>
  <c r="U53" i="2" s="1"/>
  <c r="V53" i="2" s="1"/>
  <c r="S54" i="2" l="1"/>
  <c r="T54" i="2" s="1"/>
  <c r="N54" i="2"/>
  <c r="M55" i="2" l="1"/>
  <c r="O54" i="2"/>
  <c r="P54" i="2" s="1"/>
  <c r="U54" i="2" s="1"/>
  <c r="V54" i="2" s="1"/>
  <c r="S55" i="2" l="1"/>
  <c r="T55" i="2" s="1"/>
  <c r="N55" i="2"/>
  <c r="M56" i="2" l="1"/>
  <c r="O55" i="2"/>
  <c r="P55" i="2" s="1"/>
  <c r="U55" i="2" s="1"/>
  <c r="V55" i="2" s="1"/>
  <c r="S56" i="2" l="1"/>
  <c r="T56" i="2" s="1"/>
  <c r="N56" i="2"/>
  <c r="M57" i="2" l="1"/>
  <c r="O56" i="2"/>
  <c r="P56" i="2" s="1"/>
  <c r="U56" i="2" s="1"/>
  <c r="V56" i="2" s="1"/>
  <c r="S57" i="2" l="1"/>
  <c r="T57" i="2" s="1"/>
  <c r="N57" i="2"/>
  <c r="M58" i="2" l="1"/>
  <c r="O57" i="2"/>
  <c r="P57" i="2" s="1"/>
  <c r="U57" i="2" s="1"/>
  <c r="V57" i="2" s="1"/>
  <c r="S58" i="2" l="1"/>
  <c r="T58" i="2" s="1"/>
  <c r="N58" i="2"/>
  <c r="O58" i="2" l="1"/>
  <c r="P58" i="2" s="1"/>
  <c r="U58" i="2" s="1"/>
  <c r="V58" i="2" s="1"/>
  <c r="M59" i="2"/>
  <c r="S59" i="2" l="1"/>
  <c r="T59" i="2" s="1"/>
  <c r="N59" i="2"/>
  <c r="M60" i="2" l="1"/>
  <c r="O59" i="2"/>
  <c r="P59" i="2" s="1"/>
  <c r="U59" i="2" s="1"/>
  <c r="V59" i="2" s="1"/>
  <c r="S60" i="2" l="1"/>
  <c r="T60" i="2" s="1"/>
  <c r="N60" i="2"/>
  <c r="M61" i="2" l="1"/>
  <c r="O60" i="2"/>
  <c r="P60" i="2" s="1"/>
  <c r="U60" i="2" s="1"/>
  <c r="V60" i="2" s="1"/>
  <c r="S61" i="2" l="1"/>
  <c r="T61" i="2" s="1"/>
  <c r="N61" i="2"/>
  <c r="M62" i="2" l="1"/>
  <c r="O61" i="2"/>
  <c r="P61" i="2" s="1"/>
  <c r="U61" i="2" s="1"/>
  <c r="V61" i="2" s="1"/>
  <c r="S62" i="2" l="1"/>
  <c r="T62" i="2" s="1"/>
  <c r="N62" i="2"/>
  <c r="O62" i="2" l="1"/>
  <c r="P62" i="2" s="1"/>
  <c r="U62" i="2" s="1"/>
  <c r="V62" i="2" s="1"/>
  <c r="M63" i="2"/>
  <c r="S63" i="2" l="1"/>
  <c r="T63" i="2" s="1"/>
  <c r="N63" i="2"/>
  <c r="M64" i="2" l="1"/>
  <c r="O63" i="2"/>
  <c r="P63" i="2" s="1"/>
  <c r="U63" i="2" s="1"/>
  <c r="V63" i="2" s="1"/>
  <c r="S64" i="2" l="1"/>
  <c r="T64" i="2" s="1"/>
  <c r="N64" i="2"/>
  <c r="M65" i="2" l="1"/>
  <c r="O64" i="2"/>
  <c r="P64" i="2" s="1"/>
  <c r="U64" i="2" s="1"/>
  <c r="V64" i="2" s="1"/>
  <c r="S65" i="2" l="1"/>
  <c r="T65" i="2" s="1"/>
  <c r="N65" i="2"/>
  <c r="M66" i="2" l="1"/>
  <c r="O65" i="2"/>
  <c r="P65" i="2" s="1"/>
  <c r="U65" i="2" s="1"/>
  <c r="V65" i="2" s="1"/>
  <c r="S66" i="2" l="1"/>
  <c r="T66" i="2" s="1"/>
  <c r="N66" i="2"/>
  <c r="O66" i="2" l="1"/>
  <c r="P66" i="2" s="1"/>
  <c r="U66" i="2" s="1"/>
  <c r="V66" i="2" s="1"/>
  <c r="M67" i="2"/>
  <c r="S67" i="2" l="1"/>
  <c r="T67" i="2" s="1"/>
  <c r="N67" i="2"/>
  <c r="M68" i="2" l="1"/>
  <c r="O67" i="2"/>
  <c r="P67" i="2" s="1"/>
  <c r="U67" i="2" s="1"/>
  <c r="V67" i="2" s="1"/>
  <c r="S68" i="2" l="1"/>
  <c r="T68" i="2" s="1"/>
  <c r="N68" i="2"/>
  <c r="O68" i="2" l="1"/>
  <c r="P68" i="2" s="1"/>
  <c r="U68" i="2" s="1"/>
  <c r="V68" i="2" s="1"/>
  <c r="M69" i="2"/>
  <c r="S69" i="2" l="1"/>
  <c r="T69" i="2" s="1"/>
  <c r="N69" i="2"/>
  <c r="M70" i="2" l="1"/>
  <c r="O69" i="2"/>
  <c r="P69" i="2" s="1"/>
  <c r="U69" i="2" s="1"/>
  <c r="V69" i="2" s="1"/>
  <c r="S70" i="2" l="1"/>
  <c r="T70" i="2" s="1"/>
  <c r="N70" i="2"/>
  <c r="M71" i="2" l="1"/>
  <c r="O70" i="2"/>
  <c r="P70" i="2" s="1"/>
  <c r="U70" i="2" s="1"/>
  <c r="V70" i="2" s="1"/>
  <c r="S71" i="2" l="1"/>
  <c r="T71" i="2" s="1"/>
  <c r="N71" i="2"/>
  <c r="M72" i="2" l="1"/>
  <c r="O71" i="2"/>
  <c r="P71" i="2" s="1"/>
  <c r="U71" i="2" s="1"/>
  <c r="V71" i="2" s="1"/>
  <c r="S72" i="2" l="1"/>
  <c r="T72" i="2" s="1"/>
  <c r="N72" i="2"/>
  <c r="M73" i="2" l="1"/>
  <c r="P72" i="2"/>
  <c r="U72" i="2" s="1"/>
  <c r="V72" i="2" s="1"/>
  <c r="O72" i="2"/>
  <c r="S73" i="2" l="1"/>
  <c r="T73" i="2" s="1"/>
  <c r="N73" i="2"/>
  <c r="M74" i="2" l="1"/>
  <c r="O73" i="2"/>
  <c r="P73" i="2" s="1"/>
  <c r="U73" i="2" s="1"/>
  <c r="V73" i="2" s="1"/>
  <c r="S74" i="2" l="1"/>
  <c r="T74" i="2" s="1"/>
  <c r="N74" i="2"/>
  <c r="O74" i="2" l="1"/>
  <c r="P74" i="2" s="1"/>
  <c r="U74" i="2" s="1"/>
  <c r="V74" i="2" s="1"/>
  <c r="M75" i="2"/>
  <c r="S75" i="2" l="1"/>
  <c r="T75" i="2" s="1"/>
  <c r="N75" i="2"/>
  <c r="O75" i="2" l="1"/>
  <c r="P75" i="2" s="1"/>
  <c r="U75" i="2" s="1"/>
  <c r="V75" i="2" s="1"/>
  <c r="M76" i="2"/>
  <c r="S76" i="2" l="1"/>
  <c r="T76" i="2" s="1"/>
  <c r="N76" i="2"/>
  <c r="O76" i="2" l="1"/>
  <c r="P76" i="2" s="1"/>
  <c r="U76" i="2" s="1"/>
  <c r="V76" i="2" s="1"/>
  <c r="M77" i="2"/>
  <c r="S77" i="2" l="1"/>
  <c r="T77" i="2" s="1"/>
  <c r="N77" i="2"/>
  <c r="O77" i="2" l="1"/>
  <c r="P77" i="2" s="1"/>
  <c r="U77" i="2" s="1"/>
  <c r="V77" i="2" s="1"/>
  <c r="M78" i="2"/>
  <c r="S78" i="2" l="1"/>
  <c r="T78" i="2" s="1"/>
  <c r="N78" i="2"/>
  <c r="M79" i="2" l="1"/>
  <c r="O78" i="2"/>
  <c r="P78" i="2" s="1"/>
  <c r="U78" i="2" s="1"/>
  <c r="V78" i="2" s="1"/>
  <c r="S79" i="2" l="1"/>
  <c r="T79" i="2" s="1"/>
  <c r="N79" i="2"/>
  <c r="M80" i="2" l="1"/>
  <c r="O79" i="2"/>
  <c r="P79" i="2" s="1"/>
  <c r="U79" i="2" s="1"/>
  <c r="V79" i="2" s="1"/>
  <c r="S80" i="2" l="1"/>
  <c r="T80" i="2" s="1"/>
  <c r="N80" i="2"/>
  <c r="O80" i="2" l="1"/>
  <c r="P80" i="2" s="1"/>
  <c r="U80" i="2" s="1"/>
  <c r="V80" i="2" s="1"/>
  <c r="M81" i="2"/>
  <c r="S81" i="2" l="1"/>
  <c r="T81" i="2" s="1"/>
  <c r="N81" i="2"/>
  <c r="O81" i="2" l="1"/>
  <c r="P81" i="2" s="1"/>
  <c r="U81" i="2" s="1"/>
  <c r="V81" i="2" s="1"/>
  <c r="M82" i="2"/>
  <c r="S82" i="2" l="1"/>
  <c r="T82" i="2" s="1"/>
  <c r="N82" i="2"/>
  <c r="O82" i="2" l="1"/>
  <c r="P82" i="2" s="1"/>
  <c r="U82" i="2" s="1"/>
  <c r="V82" i="2" s="1"/>
  <c r="M83" i="2"/>
  <c r="S83" i="2" l="1"/>
  <c r="T83" i="2" s="1"/>
  <c r="N83" i="2"/>
  <c r="M84" i="2" l="1"/>
  <c r="O83" i="2"/>
  <c r="P83" i="2" s="1"/>
  <c r="U83" i="2" s="1"/>
  <c r="V83" i="2" s="1"/>
  <c r="S84" i="2" l="1"/>
  <c r="T84" i="2" s="1"/>
  <c r="N84" i="2"/>
  <c r="O84" i="2" l="1"/>
  <c r="P84" i="2" s="1"/>
  <c r="U84" i="2" s="1"/>
  <c r="V84" i="2" s="1"/>
  <c r="M85" i="2"/>
  <c r="S85" i="2" l="1"/>
  <c r="T85" i="2" s="1"/>
  <c r="N85" i="2"/>
  <c r="M86" i="2" l="1"/>
  <c r="O85" i="2"/>
  <c r="P85" i="2" s="1"/>
  <c r="U85" i="2" s="1"/>
  <c r="V85" i="2" s="1"/>
  <c r="S86" i="2" l="1"/>
  <c r="T86" i="2" s="1"/>
  <c r="N86" i="2"/>
  <c r="M87" i="2" l="1"/>
  <c r="O86" i="2"/>
  <c r="P86" i="2" s="1"/>
  <c r="U86" i="2" s="1"/>
  <c r="V86" i="2" s="1"/>
  <c r="S87" i="2" l="1"/>
  <c r="T87" i="2" s="1"/>
  <c r="N87" i="2"/>
  <c r="O87" i="2" l="1"/>
  <c r="P87" i="2" s="1"/>
  <c r="U87" i="2" s="1"/>
  <c r="V87" i="2" s="1"/>
  <c r="M88" i="2"/>
  <c r="S88" i="2" l="1"/>
  <c r="T88" i="2" s="1"/>
  <c r="N88" i="2"/>
  <c r="O88" i="2" l="1"/>
  <c r="P88" i="2" s="1"/>
  <c r="U88" i="2" s="1"/>
  <c r="V88" i="2" s="1"/>
  <c r="M89" i="2"/>
  <c r="S89" i="2" l="1"/>
  <c r="T89" i="2" s="1"/>
  <c r="N89" i="2"/>
  <c r="O89" i="2" l="1"/>
  <c r="P89" i="2" s="1"/>
  <c r="U89" i="2" s="1"/>
  <c r="V89" i="2" s="1"/>
  <c r="M90" i="2"/>
  <c r="S90" i="2" l="1"/>
  <c r="T90" i="2" s="1"/>
  <c r="N90" i="2"/>
  <c r="M91" i="2" l="1"/>
  <c r="O90" i="2"/>
  <c r="P90" i="2" s="1"/>
  <c r="U90" i="2" s="1"/>
  <c r="V90" i="2" s="1"/>
  <c r="S91" i="2" l="1"/>
  <c r="T91" i="2" s="1"/>
  <c r="N91" i="2"/>
  <c r="M92" i="2" l="1"/>
  <c r="O91" i="2"/>
  <c r="P91" i="2" s="1"/>
  <c r="U91" i="2" s="1"/>
  <c r="V91" i="2" s="1"/>
  <c r="S92" i="2" l="1"/>
  <c r="T92" i="2" s="1"/>
  <c r="N92" i="2"/>
  <c r="M93" i="2" l="1"/>
  <c r="O92" i="2"/>
  <c r="P92" i="2" s="1"/>
  <c r="U92" i="2" s="1"/>
  <c r="V92" i="2" s="1"/>
  <c r="S93" i="2" l="1"/>
  <c r="T93" i="2" s="1"/>
  <c r="N93" i="2"/>
  <c r="M94" i="2" l="1"/>
  <c r="O93" i="2"/>
  <c r="P93" i="2" s="1"/>
  <c r="U93" i="2" s="1"/>
  <c r="V93" i="2" s="1"/>
  <c r="S94" i="2" l="1"/>
  <c r="T94" i="2" s="1"/>
  <c r="N94" i="2"/>
  <c r="M95" i="2" l="1"/>
  <c r="O94" i="2"/>
  <c r="P94" i="2" s="1"/>
  <c r="U94" i="2" s="1"/>
  <c r="V94" i="2" s="1"/>
  <c r="S95" i="2" l="1"/>
  <c r="T95" i="2" s="1"/>
  <c r="N95" i="2"/>
  <c r="M96" i="2" l="1"/>
  <c r="O95" i="2"/>
  <c r="P95" i="2" s="1"/>
  <c r="U95" i="2" s="1"/>
  <c r="V95" i="2" s="1"/>
  <c r="S96" i="2" l="1"/>
  <c r="T96" i="2" s="1"/>
  <c r="N96" i="2"/>
  <c r="O96" i="2" l="1"/>
  <c r="P96" i="2" s="1"/>
  <c r="U96" i="2" s="1"/>
  <c r="V96" i="2" s="1"/>
  <c r="M97" i="2"/>
  <c r="S97" i="2" l="1"/>
  <c r="T97" i="2" s="1"/>
  <c r="N97" i="2"/>
  <c r="M98" i="2" l="1"/>
  <c r="O97" i="2"/>
  <c r="P97" i="2" s="1"/>
  <c r="U97" i="2" s="1"/>
  <c r="V97" i="2" s="1"/>
  <c r="S98" i="2" l="1"/>
  <c r="T98" i="2" s="1"/>
  <c r="N98" i="2"/>
  <c r="O98" i="2" l="1"/>
  <c r="P98" i="2" s="1"/>
  <c r="U98" i="2" s="1"/>
  <c r="V98" i="2" s="1"/>
  <c r="M99" i="2"/>
  <c r="S99" i="2" l="1"/>
  <c r="T99" i="2" s="1"/>
  <c r="N99" i="2"/>
  <c r="M100" i="2" l="1"/>
  <c r="O99" i="2"/>
  <c r="P99" i="2" s="1"/>
  <c r="U99" i="2" s="1"/>
  <c r="V99" i="2" s="1"/>
  <c r="S100" i="2" l="1"/>
  <c r="T100" i="2" s="1"/>
  <c r="N100" i="2"/>
  <c r="O100" i="2" l="1"/>
  <c r="P100" i="2" s="1"/>
  <c r="U100" i="2" s="1"/>
  <c r="V100" i="2" s="1"/>
  <c r="M101" i="2"/>
  <c r="S101" i="2" l="1"/>
  <c r="T101" i="2" s="1"/>
  <c r="N101" i="2"/>
  <c r="O101" i="2" l="1"/>
  <c r="P101" i="2" s="1"/>
  <c r="U101" i="2" s="1"/>
  <c r="V101" i="2" s="1"/>
  <c r="M102" i="2"/>
  <c r="S102" i="2" l="1"/>
  <c r="T102" i="2" s="1"/>
  <c r="N102" i="2"/>
  <c r="O102" i="2" l="1"/>
  <c r="P102" i="2" s="1"/>
  <c r="U102" i="2" s="1"/>
  <c r="V102" i="2" s="1"/>
  <c r="M103" i="2"/>
  <c r="S103" i="2" l="1"/>
  <c r="T103" i="2" s="1"/>
  <c r="N103" i="2"/>
  <c r="O103" i="2" l="1"/>
  <c r="P103" i="2" s="1"/>
  <c r="U103" i="2" s="1"/>
  <c r="V103" i="2" s="1"/>
  <c r="M104" i="2"/>
  <c r="S104" i="2" l="1"/>
  <c r="T104" i="2" s="1"/>
  <c r="N104" i="2"/>
  <c r="M105" i="2" l="1"/>
  <c r="O104" i="2"/>
  <c r="P104" i="2" s="1"/>
  <c r="U104" i="2" s="1"/>
  <c r="V104" i="2" s="1"/>
  <c r="S105" i="2" l="1"/>
  <c r="T105" i="2" s="1"/>
  <c r="N105" i="2"/>
  <c r="O105" i="2" l="1"/>
  <c r="P105" i="2" s="1"/>
  <c r="U105" i="2" s="1"/>
  <c r="V105" i="2" s="1"/>
  <c r="M106" i="2"/>
  <c r="S106" i="2" l="1"/>
  <c r="T106" i="2" s="1"/>
  <c r="N106" i="2"/>
  <c r="M107" i="2" l="1"/>
  <c r="O106" i="2"/>
  <c r="P106" i="2" s="1"/>
  <c r="U106" i="2" s="1"/>
  <c r="V106" i="2" s="1"/>
  <c r="S107" i="2" l="1"/>
  <c r="T107" i="2" s="1"/>
  <c r="N107" i="2"/>
  <c r="M108" i="2" l="1"/>
  <c r="O107" i="2"/>
  <c r="P107" i="2" s="1"/>
  <c r="U107" i="2" s="1"/>
  <c r="V107" i="2" s="1"/>
  <c r="S108" i="2" l="1"/>
  <c r="T108" i="2" s="1"/>
  <c r="N108" i="2"/>
  <c r="M109" i="2" l="1"/>
  <c r="O108" i="2"/>
  <c r="P108" i="2" s="1"/>
  <c r="U108" i="2" s="1"/>
  <c r="V108" i="2" s="1"/>
  <c r="S109" i="2" l="1"/>
  <c r="T109" i="2" s="1"/>
  <c r="N109" i="2"/>
  <c r="O109" i="2" l="1"/>
  <c r="P109" i="2" s="1"/>
  <c r="U109" i="2" s="1"/>
  <c r="V109" i="2" s="1"/>
  <c r="M110" i="2"/>
  <c r="S110" i="2" l="1"/>
  <c r="T110" i="2" s="1"/>
  <c r="N110" i="2"/>
  <c r="O110" i="2" l="1"/>
  <c r="P110" i="2" s="1"/>
  <c r="U110" i="2" s="1"/>
  <c r="V110" i="2" s="1"/>
  <c r="M111" i="2"/>
  <c r="S111" i="2" l="1"/>
  <c r="T111" i="2" s="1"/>
  <c r="N111" i="2"/>
  <c r="M112" i="2" l="1"/>
  <c r="O111" i="2"/>
  <c r="P111" i="2" s="1"/>
  <c r="U111" i="2" s="1"/>
  <c r="V111" i="2" s="1"/>
  <c r="S112" i="2" l="1"/>
  <c r="T112" i="2" s="1"/>
  <c r="N112" i="2"/>
  <c r="O112" i="2" l="1"/>
  <c r="P112" i="2" s="1"/>
  <c r="U112" i="2" s="1"/>
  <c r="V112" i="2" s="1"/>
  <c r="M113" i="2"/>
  <c r="S113" i="2" l="1"/>
  <c r="T113" i="2" s="1"/>
  <c r="N113" i="2"/>
  <c r="O113" i="2" l="1"/>
  <c r="P113" i="2" s="1"/>
  <c r="U113" i="2" s="1"/>
  <c r="V113" i="2" s="1"/>
  <c r="M114" i="2"/>
  <c r="S114" i="2" l="1"/>
  <c r="T114" i="2" s="1"/>
  <c r="N114" i="2"/>
  <c r="O114" i="2" l="1"/>
  <c r="P114" i="2" s="1"/>
  <c r="U114" i="2" s="1"/>
  <c r="V114" i="2" s="1"/>
  <c r="M115" i="2"/>
  <c r="S115" i="2" l="1"/>
  <c r="T115" i="2" s="1"/>
  <c r="N115" i="2"/>
  <c r="O115" i="2" l="1"/>
  <c r="P115" i="2" s="1"/>
  <c r="U115" i="2" s="1"/>
  <c r="V115" i="2" s="1"/>
  <c r="M116" i="2"/>
  <c r="S116" i="2" l="1"/>
  <c r="T116" i="2" s="1"/>
  <c r="N116" i="2"/>
  <c r="M117" i="2" l="1"/>
  <c r="O116" i="2"/>
  <c r="P116" i="2"/>
  <c r="U116" i="2" s="1"/>
  <c r="V116" i="2" s="1"/>
  <c r="S117" i="2" l="1"/>
  <c r="T117" i="2" s="1"/>
  <c r="N117" i="2"/>
  <c r="M118" i="2" l="1"/>
  <c r="O117" i="2"/>
  <c r="P117" i="2" s="1"/>
  <c r="U117" i="2" s="1"/>
  <c r="V117" i="2" s="1"/>
  <c r="S118" i="2" l="1"/>
  <c r="T118" i="2" s="1"/>
  <c r="N118" i="2"/>
  <c r="M119" i="2" l="1"/>
  <c r="O118" i="2"/>
  <c r="P118" i="2" s="1"/>
  <c r="U118" i="2" s="1"/>
  <c r="V118" i="2" s="1"/>
  <c r="S119" i="2" l="1"/>
  <c r="T119" i="2" s="1"/>
  <c r="N119" i="2"/>
  <c r="M120" i="2" l="1"/>
  <c r="O119" i="2"/>
  <c r="P119" i="2" s="1"/>
  <c r="U119" i="2" s="1"/>
  <c r="V119" i="2" s="1"/>
  <c r="S120" i="2" l="1"/>
  <c r="T120" i="2" s="1"/>
  <c r="N120" i="2"/>
  <c r="M121" i="2" l="1"/>
  <c r="O120" i="2"/>
  <c r="P120" i="2" s="1"/>
  <c r="U120" i="2" s="1"/>
  <c r="V120" i="2" s="1"/>
  <c r="S121" i="2" l="1"/>
  <c r="T121" i="2" s="1"/>
  <c r="N121" i="2"/>
  <c r="M122" i="2" l="1"/>
  <c r="O121" i="2"/>
  <c r="P121" i="2" s="1"/>
  <c r="U121" i="2" s="1"/>
  <c r="V121" i="2" s="1"/>
  <c r="S122" i="2" l="1"/>
  <c r="T122" i="2" s="1"/>
  <c r="N122" i="2"/>
  <c r="M123" i="2" l="1"/>
  <c r="O122" i="2"/>
  <c r="P122" i="2" s="1"/>
  <c r="U122" i="2" s="1"/>
  <c r="V122" i="2" s="1"/>
  <c r="S123" i="2" l="1"/>
  <c r="T123" i="2" s="1"/>
  <c r="N123" i="2"/>
  <c r="O123" i="2" l="1"/>
  <c r="P123" i="2" s="1"/>
  <c r="U123" i="2" s="1"/>
  <c r="V123" i="2" s="1"/>
  <c r="M124" i="2"/>
  <c r="S124" i="2" l="1"/>
  <c r="T124" i="2" s="1"/>
  <c r="N124" i="2"/>
  <c r="O124" i="2" l="1"/>
  <c r="P124" i="2" s="1"/>
  <c r="U124" i="2" s="1"/>
  <c r="V124" i="2" s="1"/>
  <c r="M125" i="2"/>
  <c r="S125" i="2" l="1"/>
  <c r="T125" i="2" s="1"/>
  <c r="N125" i="2"/>
  <c r="M126" i="2" l="1"/>
  <c r="O125" i="2"/>
  <c r="P125" i="2" s="1"/>
  <c r="U125" i="2" s="1"/>
  <c r="V125" i="2" s="1"/>
  <c r="S126" i="2" l="1"/>
  <c r="T126" i="2" s="1"/>
  <c r="N126" i="2"/>
  <c r="M127" i="2" l="1"/>
  <c r="O126" i="2"/>
  <c r="P126" i="2" s="1"/>
  <c r="U126" i="2" s="1"/>
  <c r="V126" i="2" s="1"/>
  <c r="S127" i="2" l="1"/>
  <c r="T127" i="2" s="1"/>
  <c r="N127" i="2"/>
  <c r="M128" i="2" l="1"/>
  <c r="O127" i="2"/>
  <c r="P127" i="2" s="1"/>
  <c r="U127" i="2" s="1"/>
  <c r="V127" i="2" s="1"/>
  <c r="S128" i="2" l="1"/>
  <c r="T128" i="2" s="1"/>
  <c r="N128" i="2"/>
  <c r="O128" i="2" l="1"/>
  <c r="P128" i="2" s="1"/>
  <c r="U128" i="2" s="1"/>
  <c r="V128" i="2" s="1"/>
  <c r="M129" i="2"/>
  <c r="S129" i="2" l="1"/>
  <c r="T129" i="2" s="1"/>
  <c r="N129" i="2"/>
  <c r="M130" i="2" l="1"/>
  <c r="O129" i="2"/>
  <c r="P129" i="2" s="1"/>
  <c r="U129" i="2" s="1"/>
  <c r="V129" i="2" s="1"/>
  <c r="S130" i="2" l="1"/>
  <c r="T130" i="2" s="1"/>
  <c r="N130" i="2"/>
  <c r="M131" i="2" l="1"/>
  <c r="O130" i="2"/>
  <c r="P130" i="2" s="1"/>
  <c r="U130" i="2" s="1"/>
  <c r="V130" i="2" s="1"/>
  <c r="S131" i="2" l="1"/>
  <c r="T131" i="2" s="1"/>
  <c r="N131" i="2"/>
  <c r="M132" i="2" l="1"/>
  <c r="O131" i="2"/>
  <c r="P131" i="2" s="1"/>
  <c r="U131" i="2" s="1"/>
  <c r="V131" i="2" s="1"/>
  <c r="S132" i="2" l="1"/>
  <c r="T132" i="2" s="1"/>
  <c r="N132" i="2"/>
  <c r="M133" i="2" l="1"/>
  <c r="O132" i="2"/>
  <c r="P132" i="2" s="1"/>
  <c r="U132" i="2" s="1"/>
  <c r="V132" i="2" s="1"/>
  <c r="S133" i="2" l="1"/>
  <c r="T133" i="2" s="1"/>
  <c r="N133" i="2"/>
  <c r="O133" i="2" l="1"/>
  <c r="P133" i="2" s="1"/>
  <c r="U133" i="2" s="1"/>
  <c r="V133" i="2" s="1"/>
  <c r="M134" i="2"/>
  <c r="S134" i="2" l="1"/>
  <c r="T134" i="2" s="1"/>
  <c r="N134" i="2"/>
  <c r="M135" i="2" l="1"/>
  <c r="O134" i="2"/>
  <c r="P134" i="2" s="1"/>
  <c r="U134" i="2" s="1"/>
  <c r="V134" i="2" s="1"/>
  <c r="S135" i="2" l="1"/>
  <c r="T135" i="2" s="1"/>
  <c r="N135" i="2"/>
  <c r="M136" i="2" l="1"/>
  <c r="O135" i="2"/>
  <c r="P135" i="2" s="1"/>
  <c r="U135" i="2" s="1"/>
  <c r="V135" i="2" s="1"/>
  <c r="S136" i="2" l="1"/>
  <c r="T136" i="2" s="1"/>
  <c r="N136" i="2"/>
  <c r="O136" i="2" l="1"/>
  <c r="P136" i="2" s="1"/>
  <c r="U136" i="2" s="1"/>
  <c r="V136" i="2" s="1"/>
  <c r="M137" i="2"/>
  <c r="S137" i="2" l="1"/>
  <c r="T137" i="2" s="1"/>
  <c r="N137" i="2"/>
  <c r="O137" i="2" l="1"/>
  <c r="P137" i="2" s="1"/>
  <c r="U137" i="2" s="1"/>
  <c r="V137" i="2" s="1"/>
  <c r="M138" i="2"/>
  <c r="S138" i="2" l="1"/>
  <c r="T138" i="2" s="1"/>
  <c r="N138" i="2"/>
  <c r="M139" i="2" l="1"/>
  <c r="O138" i="2"/>
  <c r="P138" i="2" s="1"/>
  <c r="U138" i="2" s="1"/>
  <c r="V138" i="2" s="1"/>
  <c r="S139" i="2" l="1"/>
  <c r="T139" i="2" s="1"/>
  <c r="N139" i="2"/>
  <c r="O139" i="2" l="1"/>
  <c r="P139" i="2" s="1"/>
  <c r="U139" i="2" s="1"/>
  <c r="V139" i="2" s="1"/>
  <c r="M140" i="2"/>
  <c r="S140" i="2" l="1"/>
  <c r="T140" i="2" s="1"/>
  <c r="N140" i="2"/>
  <c r="O140" i="2" l="1"/>
  <c r="P140" i="2" s="1"/>
  <c r="U140" i="2" s="1"/>
  <c r="V140" i="2" s="1"/>
  <c r="M141" i="2"/>
  <c r="S141" i="2" l="1"/>
  <c r="T141" i="2" s="1"/>
  <c r="N141" i="2"/>
  <c r="O141" i="2" l="1"/>
  <c r="P141" i="2" s="1"/>
  <c r="U141" i="2" s="1"/>
  <c r="V141" i="2" s="1"/>
  <c r="M142" i="2"/>
  <c r="S142" i="2" l="1"/>
  <c r="T142" i="2" s="1"/>
  <c r="N142" i="2"/>
  <c r="M143" i="2" l="1"/>
  <c r="O142" i="2"/>
  <c r="P142" i="2" s="1"/>
  <c r="U142" i="2" s="1"/>
  <c r="V142" i="2" s="1"/>
  <c r="S143" i="2" l="1"/>
  <c r="T143" i="2" s="1"/>
  <c r="N143" i="2"/>
  <c r="M144" i="2" l="1"/>
  <c r="O143" i="2"/>
  <c r="P143" i="2" s="1"/>
  <c r="U143" i="2" s="1"/>
  <c r="V143" i="2" s="1"/>
  <c r="S144" i="2" l="1"/>
  <c r="T144" i="2" s="1"/>
  <c r="N144" i="2"/>
  <c r="M145" i="2" l="1"/>
  <c r="O144" i="2"/>
  <c r="P144" i="2" s="1"/>
  <c r="U144" i="2" s="1"/>
  <c r="V144" i="2" s="1"/>
  <c r="S145" i="2" l="1"/>
  <c r="T145" i="2" s="1"/>
  <c r="N145" i="2"/>
  <c r="M146" i="2" l="1"/>
  <c r="O145" i="2"/>
  <c r="P145" i="2" s="1"/>
  <c r="U145" i="2" s="1"/>
  <c r="V145" i="2" s="1"/>
  <c r="S146" i="2" l="1"/>
  <c r="T146" i="2" s="1"/>
  <c r="N146" i="2"/>
  <c r="M147" i="2" l="1"/>
  <c r="O146" i="2"/>
  <c r="P146" i="2" s="1"/>
  <c r="U146" i="2" s="1"/>
  <c r="V146" i="2" s="1"/>
  <c r="S147" i="2" l="1"/>
  <c r="T147" i="2" s="1"/>
  <c r="N147" i="2"/>
  <c r="M148" i="2" l="1"/>
  <c r="O147" i="2"/>
  <c r="P147" i="2" s="1"/>
  <c r="U147" i="2" s="1"/>
  <c r="V147" i="2" s="1"/>
  <c r="S148" i="2" l="1"/>
  <c r="T148" i="2" s="1"/>
  <c r="N148" i="2"/>
  <c r="M149" i="2" l="1"/>
  <c r="O148" i="2"/>
  <c r="P148" i="2"/>
  <c r="U148" i="2" s="1"/>
  <c r="V148" i="2" s="1"/>
  <c r="S149" i="2" l="1"/>
  <c r="T149" i="2" s="1"/>
  <c r="N149" i="2"/>
  <c r="M150" i="2" l="1"/>
  <c r="O149" i="2"/>
  <c r="P149" i="2" s="1"/>
  <c r="U149" i="2" s="1"/>
  <c r="V149" i="2" s="1"/>
  <c r="S150" i="2" l="1"/>
  <c r="T150" i="2" s="1"/>
  <c r="N150" i="2"/>
  <c r="M151" i="2" l="1"/>
  <c r="O150" i="2"/>
  <c r="P150" i="2" s="1"/>
  <c r="U150" i="2" s="1"/>
  <c r="V150" i="2" s="1"/>
  <c r="S151" i="2" l="1"/>
  <c r="T151" i="2" s="1"/>
  <c r="N151" i="2"/>
  <c r="M152" i="2" l="1"/>
  <c r="O151" i="2"/>
  <c r="P151" i="2" s="1"/>
  <c r="U151" i="2" s="1"/>
  <c r="V151" i="2" s="1"/>
  <c r="S152" i="2" l="1"/>
  <c r="T152" i="2" s="1"/>
  <c r="N152" i="2"/>
  <c r="O152" i="2" l="1"/>
  <c r="P152" i="2" s="1"/>
  <c r="U152" i="2" s="1"/>
  <c r="V152" i="2" s="1"/>
  <c r="M153" i="2"/>
  <c r="S153" i="2" l="1"/>
  <c r="T153" i="2" s="1"/>
  <c r="N153" i="2"/>
  <c r="M154" i="2" l="1"/>
  <c r="O153" i="2"/>
  <c r="P153" i="2" s="1"/>
  <c r="U153" i="2" s="1"/>
  <c r="V153" i="2" s="1"/>
  <c r="S154" i="2" l="1"/>
  <c r="T154" i="2" s="1"/>
  <c r="N154" i="2"/>
  <c r="M155" i="2" l="1"/>
  <c r="O154" i="2"/>
  <c r="P154" i="2" s="1"/>
  <c r="U154" i="2" s="1"/>
  <c r="V154" i="2" s="1"/>
  <c r="S155" i="2" l="1"/>
  <c r="T155" i="2" s="1"/>
  <c r="N155" i="2"/>
  <c r="M156" i="2" l="1"/>
  <c r="O155" i="2"/>
  <c r="P155" i="2" s="1"/>
  <c r="U155" i="2" s="1"/>
  <c r="V155" i="2" s="1"/>
  <c r="S156" i="2" l="1"/>
  <c r="T156" i="2" s="1"/>
  <c r="N156" i="2"/>
  <c r="M157" i="2" l="1"/>
  <c r="O156" i="2"/>
  <c r="P156" i="2" s="1"/>
  <c r="U156" i="2" s="1"/>
  <c r="V156" i="2" s="1"/>
  <c r="S157" i="2" l="1"/>
  <c r="T157" i="2" s="1"/>
  <c r="N157" i="2"/>
  <c r="M158" i="2" l="1"/>
  <c r="O157" i="2"/>
  <c r="P157" i="2" s="1"/>
  <c r="U157" i="2" s="1"/>
  <c r="V157" i="2" s="1"/>
  <c r="S158" i="2" l="1"/>
  <c r="T158" i="2" s="1"/>
  <c r="N158" i="2"/>
  <c r="O158" i="2" l="1"/>
  <c r="P158" i="2" s="1"/>
  <c r="U158" i="2" s="1"/>
  <c r="V158" i="2" s="1"/>
  <c r="M159" i="2"/>
  <c r="S159" i="2" l="1"/>
  <c r="T159" i="2" s="1"/>
  <c r="N159" i="2"/>
  <c r="M160" i="2" l="1"/>
  <c r="O159" i="2"/>
  <c r="P159" i="2" s="1"/>
  <c r="U159" i="2" s="1"/>
  <c r="V159" i="2" s="1"/>
  <c r="S160" i="2" l="1"/>
  <c r="T160" i="2" s="1"/>
  <c r="N160" i="2"/>
  <c r="M161" i="2" l="1"/>
  <c r="O160" i="2"/>
  <c r="P160" i="2" s="1"/>
  <c r="U160" i="2" s="1"/>
  <c r="V160" i="2" s="1"/>
  <c r="S161" i="2" l="1"/>
  <c r="T161" i="2" s="1"/>
  <c r="N161" i="2"/>
  <c r="M162" i="2" l="1"/>
  <c r="O161" i="2"/>
  <c r="P161" i="2" s="1"/>
  <c r="U161" i="2" s="1"/>
  <c r="V161" i="2" s="1"/>
  <c r="S162" i="2" l="1"/>
  <c r="T162" i="2" s="1"/>
  <c r="N162" i="2"/>
  <c r="M163" i="2" l="1"/>
  <c r="O162" i="2"/>
  <c r="P162" i="2" s="1"/>
  <c r="U162" i="2" s="1"/>
  <c r="V162" i="2" s="1"/>
  <c r="S163" i="2" l="1"/>
  <c r="T163" i="2" s="1"/>
  <c r="N163" i="2"/>
  <c r="O163" i="2" l="1"/>
  <c r="P163" i="2" s="1"/>
  <c r="U163" i="2" s="1"/>
  <c r="V163" i="2" s="1"/>
  <c r="M164" i="2"/>
  <c r="S164" i="2" l="1"/>
  <c r="T164" i="2" s="1"/>
  <c r="N164" i="2"/>
  <c r="M165" i="2" l="1"/>
  <c r="O164" i="2"/>
  <c r="P164" i="2" s="1"/>
  <c r="U164" i="2" s="1"/>
  <c r="V164" i="2" s="1"/>
  <c r="S165" i="2" l="1"/>
  <c r="T165" i="2" s="1"/>
  <c r="N165" i="2"/>
  <c r="M166" i="2" l="1"/>
  <c r="O165" i="2"/>
  <c r="P165" i="2" s="1"/>
  <c r="U165" i="2" s="1"/>
  <c r="V165" i="2" s="1"/>
  <c r="S166" i="2" l="1"/>
  <c r="T166" i="2" s="1"/>
  <c r="N166" i="2"/>
  <c r="M167" i="2" l="1"/>
  <c r="O166" i="2"/>
  <c r="P166" i="2" s="1"/>
  <c r="U166" i="2" s="1"/>
  <c r="V166" i="2" s="1"/>
  <c r="S167" i="2" l="1"/>
  <c r="T167" i="2" s="1"/>
  <c r="N167" i="2"/>
  <c r="O167" i="2" l="1"/>
  <c r="P167" i="2" s="1"/>
  <c r="U167" i="2" s="1"/>
  <c r="V167" i="2" s="1"/>
  <c r="M168" i="2"/>
  <c r="S168" i="2" l="1"/>
  <c r="T168" i="2" s="1"/>
  <c r="N168" i="2"/>
  <c r="M169" i="2" l="1"/>
  <c r="O168" i="2"/>
  <c r="P168" i="2" s="1"/>
  <c r="U168" i="2" s="1"/>
  <c r="V168" i="2" s="1"/>
  <c r="S169" i="2" l="1"/>
  <c r="T169" i="2" s="1"/>
  <c r="N169" i="2"/>
  <c r="O169" i="2" l="1"/>
  <c r="P169" i="2" s="1"/>
  <c r="U169" i="2" s="1"/>
  <c r="V169" i="2" s="1"/>
  <c r="M170" i="2"/>
  <c r="S170" i="2" l="1"/>
  <c r="T170" i="2" s="1"/>
  <c r="N170" i="2"/>
  <c r="M171" i="2" l="1"/>
  <c r="O170" i="2"/>
  <c r="P170" i="2" s="1"/>
  <c r="U170" i="2" s="1"/>
  <c r="V170" i="2" s="1"/>
  <c r="S171" i="2" l="1"/>
  <c r="T171" i="2" s="1"/>
  <c r="N171" i="2"/>
  <c r="O171" i="2" l="1"/>
  <c r="P171" i="2" s="1"/>
  <c r="U171" i="2" s="1"/>
  <c r="V171" i="2" s="1"/>
  <c r="M172" i="2"/>
  <c r="S172" i="2" l="1"/>
  <c r="T172" i="2" s="1"/>
  <c r="N172" i="2"/>
  <c r="M173" i="2" l="1"/>
  <c r="O172" i="2"/>
  <c r="P172" i="2" s="1"/>
  <c r="U172" i="2" s="1"/>
  <c r="V172" i="2" s="1"/>
  <c r="S173" i="2" l="1"/>
  <c r="T173" i="2" s="1"/>
  <c r="N173" i="2"/>
  <c r="M174" i="2" l="1"/>
  <c r="O173" i="2"/>
  <c r="P173" i="2" s="1"/>
  <c r="U173" i="2" s="1"/>
  <c r="V173" i="2" s="1"/>
  <c r="S174" i="2" l="1"/>
  <c r="T174" i="2" s="1"/>
  <c r="N174" i="2"/>
  <c r="M175" i="2" l="1"/>
  <c r="O174" i="2"/>
  <c r="P174" i="2" s="1"/>
  <c r="U174" i="2" s="1"/>
  <c r="V174" i="2" s="1"/>
  <c r="S175" i="2" l="1"/>
  <c r="T175" i="2" s="1"/>
  <c r="N175" i="2"/>
  <c r="M176" i="2" l="1"/>
  <c r="O175" i="2"/>
  <c r="P175" i="2" s="1"/>
  <c r="U175" i="2" s="1"/>
  <c r="V175" i="2" s="1"/>
  <c r="S176" i="2" l="1"/>
  <c r="T176" i="2" s="1"/>
  <c r="N176" i="2"/>
  <c r="M177" i="2" l="1"/>
  <c r="O176" i="2"/>
  <c r="P176" i="2" s="1"/>
  <c r="U176" i="2" s="1"/>
  <c r="V176" i="2" s="1"/>
  <c r="S177" i="2" l="1"/>
  <c r="T177" i="2" s="1"/>
  <c r="N177" i="2"/>
  <c r="M178" i="2" l="1"/>
  <c r="O177" i="2"/>
  <c r="P177" i="2" s="1"/>
  <c r="U177" i="2" s="1"/>
  <c r="V177" i="2" s="1"/>
  <c r="S178" i="2" l="1"/>
  <c r="T178" i="2" s="1"/>
  <c r="N178" i="2"/>
  <c r="M179" i="2" l="1"/>
  <c r="O178" i="2"/>
  <c r="P178" i="2" s="1"/>
  <c r="U178" i="2" s="1"/>
  <c r="V178" i="2" s="1"/>
  <c r="S179" i="2" l="1"/>
  <c r="T179" i="2" s="1"/>
  <c r="N179" i="2"/>
  <c r="O179" i="2" l="1"/>
  <c r="P179" i="2" s="1"/>
  <c r="U179" i="2" s="1"/>
  <c r="V179" i="2" s="1"/>
  <c r="M180" i="2"/>
  <c r="S180" i="2" l="1"/>
  <c r="T180" i="2" s="1"/>
  <c r="N180" i="2"/>
  <c r="O180" i="2" l="1"/>
  <c r="P180" i="2" s="1"/>
  <c r="U180" i="2" s="1"/>
  <c r="V180" i="2" s="1"/>
  <c r="M181" i="2"/>
  <c r="S181" i="2" l="1"/>
  <c r="T181" i="2" s="1"/>
  <c r="N181" i="2"/>
  <c r="O181" i="2" l="1"/>
  <c r="P181" i="2" s="1"/>
  <c r="U181" i="2" s="1"/>
  <c r="V181" i="2" s="1"/>
  <c r="M182" i="2"/>
  <c r="S182" i="2" l="1"/>
  <c r="T182" i="2" s="1"/>
  <c r="N182" i="2"/>
  <c r="O182" i="2" l="1"/>
  <c r="P182" i="2" s="1"/>
  <c r="U182" i="2" s="1"/>
  <c r="V182" i="2" s="1"/>
  <c r="M183" i="2"/>
  <c r="S183" i="2" l="1"/>
  <c r="T183" i="2" s="1"/>
  <c r="N183" i="2"/>
  <c r="O183" i="2" l="1"/>
  <c r="P183" i="2" s="1"/>
  <c r="U183" i="2" s="1"/>
  <c r="V183" i="2" s="1"/>
  <c r="M184" i="2"/>
  <c r="S184" i="2" l="1"/>
  <c r="T184" i="2" s="1"/>
  <c r="N184" i="2"/>
  <c r="O184" i="2" l="1"/>
  <c r="P184" i="2" s="1"/>
  <c r="U184" i="2" s="1"/>
  <c r="V184" i="2" s="1"/>
  <c r="M185" i="2"/>
  <c r="S185" i="2" l="1"/>
  <c r="T185" i="2" s="1"/>
  <c r="N185" i="2"/>
  <c r="O185" i="2" l="1"/>
  <c r="P185" i="2" s="1"/>
  <c r="U185" i="2" s="1"/>
  <c r="V185" i="2" s="1"/>
  <c r="M186" i="2"/>
  <c r="S186" i="2" l="1"/>
  <c r="T186" i="2" s="1"/>
  <c r="N186" i="2"/>
  <c r="O186" i="2" l="1"/>
  <c r="P186" i="2" s="1"/>
  <c r="U186" i="2" s="1"/>
  <c r="V186" i="2" s="1"/>
  <c r="M187" i="2"/>
  <c r="S187" i="2" l="1"/>
  <c r="T187" i="2" s="1"/>
  <c r="N187" i="2"/>
  <c r="O187" i="2" l="1"/>
  <c r="P187" i="2" s="1"/>
  <c r="U187" i="2" s="1"/>
  <c r="V187" i="2" s="1"/>
  <c r="M188" i="2"/>
  <c r="S188" i="2" l="1"/>
  <c r="T188" i="2" s="1"/>
  <c r="N188" i="2"/>
  <c r="O188" i="2" l="1"/>
  <c r="P188" i="2" s="1"/>
  <c r="U188" i="2" s="1"/>
  <c r="V188" i="2" s="1"/>
  <c r="M189" i="2"/>
  <c r="S189" i="2" l="1"/>
  <c r="T189" i="2" s="1"/>
  <c r="N189" i="2"/>
  <c r="O189" i="2" l="1"/>
  <c r="P189" i="2" s="1"/>
  <c r="U189" i="2" s="1"/>
  <c r="V189" i="2" s="1"/>
  <c r="M190" i="2"/>
  <c r="S190" i="2" l="1"/>
  <c r="T190" i="2" s="1"/>
  <c r="N190" i="2"/>
  <c r="M191" i="2" l="1"/>
  <c r="O190" i="2"/>
  <c r="P190" i="2" s="1"/>
  <c r="U190" i="2" s="1"/>
  <c r="V190" i="2" s="1"/>
  <c r="S191" i="2" l="1"/>
  <c r="T191" i="2" s="1"/>
  <c r="N191" i="2"/>
  <c r="O191" i="2" l="1"/>
  <c r="P191" i="2" s="1"/>
  <c r="U191" i="2" s="1"/>
  <c r="V191" i="2" s="1"/>
  <c r="M192" i="2"/>
  <c r="S192" i="2" l="1"/>
  <c r="T192" i="2" s="1"/>
  <c r="N192" i="2"/>
  <c r="O192" i="2" l="1"/>
  <c r="P192" i="2" s="1"/>
  <c r="U192" i="2" s="1"/>
  <c r="V192" i="2" s="1"/>
  <c r="M193" i="2"/>
  <c r="S193" i="2" l="1"/>
  <c r="T193" i="2" s="1"/>
  <c r="N193" i="2"/>
  <c r="O193" i="2" l="1"/>
  <c r="P193" i="2" s="1"/>
  <c r="U193" i="2" s="1"/>
  <c r="V193" i="2" s="1"/>
  <c r="M194" i="2"/>
  <c r="S194" i="2" l="1"/>
  <c r="T194" i="2" s="1"/>
  <c r="N194" i="2"/>
  <c r="O194" i="2" l="1"/>
  <c r="P194" i="2" s="1"/>
  <c r="U194" i="2" s="1"/>
  <c r="V194" i="2" s="1"/>
  <c r="M195" i="2"/>
  <c r="S195" i="2" l="1"/>
  <c r="T195" i="2" s="1"/>
  <c r="N195" i="2"/>
  <c r="M196" i="2" l="1"/>
  <c r="O195" i="2"/>
  <c r="P195" i="2" s="1"/>
  <c r="U195" i="2" s="1"/>
  <c r="V195" i="2" s="1"/>
  <c r="S196" i="2" l="1"/>
  <c r="T196" i="2" s="1"/>
  <c r="N196" i="2"/>
  <c r="O196" i="2" l="1"/>
  <c r="P196" i="2" s="1"/>
  <c r="U196" i="2" s="1"/>
  <c r="V196" i="2" s="1"/>
  <c r="M197" i="2"/>
  <c r="S197" i="2" l="1"/>
  <c r="T197" i="2" s="1"/>
  <c r="N197" i="2"/>
  <c r="M198" i="2" l="1"/>
  <c r="O197" i="2"/>
  <c r="P197" i="2" s="1"/>
  <c r="U197" i="2" s="1"/>
  <c r="V197" i="2" s="1"/>
  <c r="S198" i="2" l="1"/>
  <c r="T198" i="2" s="1"/>
  <c r="N198" i="2"/>
  <c r="O198" i="2" l="1"/>
  <c r="P198" i="2" s="1"/>
  <c r="U198" i="2" s="1"/>
  <c r="V198" i="2" s="1"/>
  <c r="M199" i="2"/>
  <c r="S199" i="2" l="1"/>
  <c r="T199" i="2" s="1"/>
  <c r="N199" i="2"/>
  <c r="O199" i="2" l="1"/>
  <c r="P199" i="2" s="1"/>
  <c r="U199" i="2" s="1"/>
  <c r="V199" i="2" s="1"/>
  <c r="M200" i="2"/>
  <c r="S200" i="2" l="1"/>
  <c r="T200" i="2" s="1"/>
  <c r="N200" i="2"/>
  <c r="M201" i="2" l="1"/>
  <c r="O200" i="2"/>
  <c r="P200" i="2" s="1"/>
  <c r="U200" i="2" s="1"/>
  <c r="V200" i="2" s="1"/>
  <c r="S201" i="2" l="1"/>
  <c r="N201" i="2"/>
  <c r="M202" i="2"/>
  <c r="C21" i="3"/>
  <c r="S202" i="2" l="1"/>
  <c r="T201" i="2"/>
  <c r="T202" i="2" s="1"/>
  <c r="O201" i="2"/>
  <c r="N202" i="2"/>
  <c r="O202" i="2" l="1"/>
  <c r="C17" i="3"/>
  <c r="P201" i="2"/>
  <c r="U201" i="2" l="1"/>
  <c r="P202" i="2"/>
  <c r="U202" i="2" l="1"/>
  <c r="C7" i="3"/>
  <c r="V201" i="2"/>
  <c r="V202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<sst xmlns="http://schemas.openxmlformats.org/spreadsheetml/2006/main" count="522" uniqueCount="295">
  <si>
    <t>ВХОДНЫЕ ПАРАМЕТРЫ ПРОЕКТА</t>
  </si>
  <si>
    <t>Название проекта</t>
  </si>
  <si>
    <t>Sklad_160</t>
  </si>
  <si>
    <t>Дата начала строительства</t>
  </si>
  <si>
    <t>ГГГГ-ММ</t>
  </si>
  <si>
    <t>2026-07</t>
  </si>
  <si>
    <t>Площадь объекта</t>
  </si>
  <si>
    <t>кв.м.</t>
  </si>
  <si>
    <t>Себестоимость строительства (с НДС)</t>
  </si>
  <si>
    <t>руб.</t>
  </si>
  <si>
    <t>Доля кредита</t>
  </si>
  <si>
    <t>Арендная ставка</t>
  </si>
  <si>
    <t>руб./кв.м./мес.</t>
  </si>
  <si>
    <t>Годовая инфляция (индексация аренды)</t>
  </si>
  <si>
    <t>Ставка ЦБ (ставка дисконтирования)</t>
  </si>
  <si>
    <t>Кредитная ставка</t>
  </si>
  <si>
    <t>Срок строительства</t>
  </si>
  <si>
    <t>мес.</t>
  </si>
  <si>
    <t>Горизонт планирования</t>
  </si>
  <si>
    <t>Ставка НДС</t>
  </si>
  <si>
    <t>Ставка налога на прибыль</t>
  </si>
  <si>
    <t>Ставка налога на имущество</t>
  </si>
  <si>
    <t>в год</t>
  </si>
  <si>
    <t>Операционные расходы</t>
  </si>
  <si>
    <t>% от выручки б/НДС</t>
  </si>
  <si>
    <t>Срок полезного использования</t>
  </si>
  <si>
    <t>лет</t>
  </si>
  <si>
    <t>РАСЧЁТНЫЕ (ПРОИЗВОДНЫЕ) ПАРАМЕТРЫ</t>
  </si>
  <si>
    <t>Изменяйте только синие ячейки выше — формулы ниже пересчитаются автоматически.</t>
  </si>
  <si>
    <t>Себестоимость без НДС</t>
  </si>
  <si>
    <t>НДС строительства</t>
  </si>
  <si>
    <t>Сумма кредита</t>
  </si>
  <si>
    <t>Собственные средства</t>
  </si>
  <si>
    <t>Стоимость 1 кв.м.</t>
  </si>
  <si>
    <t>Период эксплуатации</t>
  </si>
  <si>
    <t>Аннуитетный платёж (в мес.)</t>
  </si>
  <si>
    <t>руб./мес.</t>
  </si>
  <si>
    <t>Амортизация (в мес.)</t>
  </si>
  <si>
    <t>НДС к возмещению (1-3 мес. экспл.)</t>
  </si>
  <si>
    <t>Мес.</t>
  </si>
  <si>
    <t>Дата</t>
  </si>
  <si>
    <t>Фаза</t>
  </si>
  <si>
    <t>Выручка с НДС</t>
  </si>
  <si>
    <t>Выручка без НДС</t>
  </si>
  <si>
    <t>НДС выходной</t>
  </si>
  <si>
    <t>НДС входной</t>
  </si>
  <si>
    <t>НДС нетто</t>
  </si>
  <si>
    <t>Опер. расходы</t>
  </si>
  <si>
    <t>Амортизация</t>
  </si>
  <si>
    <t>Налог на имущ.</t>
  </si>
  <si>
    <t>EBIT</t>
  </si>
  <si>
    <t>Проценты</t>
  </si>
  <si>
    <t>EBT</t>
  </si>
  <si>
    <t>Налог на прибыль</t>
  </si>
  <si>
    <t>Чистая прибыль</t>
  </si>
  <si>
    <t>Капвложения</t>
  </si>
  <si>
    <t>Транш кредита</t>
  </si>
  <si>
    <t>Погашение кредита</t>
  </si>
  <si>
    <t>Остаток кредита</t>
  </si>
  <si>
    <t>CF инвестора</t>
  </si>
  <si>
    <t>Накопл. CF</t>
  </si>
  <si>
    <t>2026-08</t>
  </si>
  <si>
    <t>Строительство</t>
  </si>
  <si>
    <t>2026-09</t>
  </si>
  <si>
    <t>2026-10</t>
  </si>
  <si>
    <t>2026-11</t>
  </si>
  <si>
    <t>2026-12</t>
  </si>
  <si>
    <t>2027-01</t>
  </si>
  <si>
    <t>2027-02</t>
  </si>
  <si>
    <t>2027-03</t>
  </si>
  <si>
    <t>2027-04</t>
  </si>
  <si>
    <t>2027-05</t>
  </si>
  <si>
    <t>2027-06</t>
  </si>
  <si>
    <t>Эксплуатация</t>
  </si>
  <si>
    <t>2027-07</t>
  </si>
  <si>
    <t>2027-08</t>
  </si>
  <si>
    <t>2027-09</t>
  </si>
  <si>
    <t>2027-10</t>
  </si>
  <si>
    <t>2027-11</t>
  </si>
  <si>
    <t>2027-12</t>
  </si>
  <si>
    <t>2028-01</t>
  </si>
  <si>
    <t>2028-02</t>
  </si>
  <si>
    <t>2028-03</t>
  </si>
  <si>
    <t>2028-04</t>
  </si>
  <si>
    <t>2028-05</t>
  </si>
  <si>
    <t>2028-06</t>
  </si>
  <si>
    <t>2028-07</t>
  </si>
  <si>
    <t>2028-08</t>
  </si>
  <si>
    <t>2028-09</t>
  </si>
  <si>
    <t>2028-10</t>
  </si>
  <si>
    <t>2028-11</t>
  </si>
  <si>
    <t>2028-12</t>
  </si>
  <si>
    <t>2029-01</t>
  </si>
  <si>
    <t>2029-02</t>
  </si>
  <si>
    <t>2029-03</t>
  </si>
  <si>
    <t>2029-04</t>
  </si>
  <si>
    <t>2029-05</t>
  </si>
  <si>
    <t>2029-06</t>
  </si>
  <si>
    <t>2029-07</t>
  </si>
  <si>
    <t>2029-08</t>
  </si>
  <si>
    <t>2029-09</t>
  </si>
  <si>
    <t>2029-10</t>
  </si>
  <si>
    <t>2029-11</t>
  </si>
  <si>
    <t>2029-12</t>
  </si>
  <si>
    <t>2030-01</t>
  </si>
  <si>
    <t>2030-02</t>
  </si>
  <si>
    <t>2030-03</t>
  </si>
  <si>
    <t>2030-04</t>
  </si>
  <si>
    <t>2030-05</t>
  </si>
  <si>
    <t>2030-06</t>
  </si>
  <si>
    <t>2030-07</t>
  </si>
  <si>
    <t>2030-08</t>
  </si>
  <si>
    <t>2030-09</t>
  </si>
  <si>
    <t>2030-10</t>
  </si>
  <si>
    <t>2030-11</t>
  </si>
  <si>
    <t>2030-12</t>
  </si>
  <si>
    <t>2031-01</t>
  </si>
  <si>
    <t>2031-02</t>
  </si>
  <si>
    <t>2031-03</t>
  </si>
  <si>
    <t>2031-04</t>
  </si>
  <si>
    <t>2031-05</t>
  </si>
  <si>
    <t>2031-06</t>
  </si>
  <si>
    <t>2031-07</t>
  </si>
  <si>
    <t>2031-08</t>
  </si>
  <si>
    <t>2031-09</t>
  </si>
  <si>
    <t>2031-10</t>
  </si>
  <si>
    <t>2031-11</t>
  </si>
  <si>
    <t>2031-12</t>
  </si>
  <si>
    <t>2032-01</t>
  </si>
  <si>
    <t>2032-02</t>
  </si>
  <si>
    <t>2032-03</t>
  </si>
  <si>
    <t>2032-04</t>
  </si>
  <si>
    <t>2032-05</t>
  </si>
  <si>
    <t>2032-06</t>
  </si>
  <si>
    <t>2032-07</t>
  </si>
  <si>
    <t>2032-08</t>
  </si>
  <si>
    <t>2032-09</t>
  </si>
  <si>
    <t>2032-10</t>
  </si>
  <si>
    <t>2032-11</t>
  </si>
  <si>
    <t>2032-12</t>
  </si>
  <si>
    <t>2033-01</t>
  </si>
  <si>
    <t>2033-02</t>
  </si>
  <si>
    <t>2033-03</t>
  </si>
  <si>
    <t>2033-04</t>
  </si>
  <si>
    <t>2033-05</t>
  </si>
  <si>
    <t>2033-06</t>
  </si>
  <si>
    <t>2033-07</t>
  </si>
  <si>
    <t>2033-08</t>
  </si>
  <si>
    <t>2033-09</t>
  </si>
  <si>
    <t>2033-10</t>
  </si>
  <si>
    <t>2033-11</t>
  </si>
  <si>
    <t>2033-12</t>
  </si>
  <si>
    <t>2034-01</t>
  </si>
  <si>
    <t>2034-02</t>
  </si>
  <si>
    <t>2034-03</t>
  </si>
  <si>
    <t>2034-04</t>
  </si>
  <si>
    <t>2034-05</t>
  </si>
  <si>
    <t>2034-06</t>
  </si>
  <si>
    <t>2034-07</t>
  </si>
  <si>
    <t>2034-08</t>
  </si>
  <si>
    <t>2034-09</t>
  </si>
  <si>
    <t>2034-10</t>
  </si>
  <si>
    <t>2034-11</t>
  </si>
  <si>
    <t>2034-12</t>
  </si>
  <si>
    <t>2035-01</t>
  </si>
  <si>
    <t>2035-02</t>
  </si>
  <si>
    <t>2035-03</t>
  </si>
  <si>
    <t>2035-04</t>
  </si>
  <si>
    <t>2035-05</t>
  </si>
  <si>
    <t>2035-06</t>
  </si>
  <si>
    <t>2035-07</t>
  </si>
  <si>
    <t>2035-08</t>
  </si>
  <si>
    <t>2035-09</t>
  </si>
  <si>
    <t>2035-10</t>
  </si>
  <si>
    <t>2035-11</t>
  </si>
  <si>
    <t>2035-12</t>
  </si>
  <si>
    <t>2036-01</t>
  </si>
  <si>
    <t>2036-02</t>
  </si>
  <si>
    <t>2036-03</t>
  </si>
  <si>
    <t>2036-04</t>
  </si>
  <si>
    <t>2036-05</t>
  </si>
  <si>
    <t>2036-06</t>
  </si>
  <si>
    <t>2036-07</t>
  </si>
  <si>
    <t>2036-08</t>
  </si>
  <si>
    <t>2036-09</t>
  </si>
  <si>
    <t>2036-10</t>
  </si>
  <si>
    <t>2036-11</t>
  </si>
  <si>
    <t>2036-12</t>
  </si>
  <si>
    <t>2037-01</t>
  </si>
  <si>
    <t>2037-02</t>
  </si>
  <si>
    <t>2037-03</t>
  </si>
  <si>
    <t>2037-04</t>
  </si>
  <si>
    <t>2037-05</t>
  </si>
  <si>
    <t>2037-06</t>
  </si>
  <si>
    <t>2037-07</t>
  </si>
  <si>
    <t>2037-08</t>
  </si>
  <si>
    <t>2037-09</t>
  </si>
  <si>
    <t>2037-10</t>
  </si>
  <si>
    <t>2037-11</t>
  </si>
  <si>
    <t>2037-12</t>
  </si>
  <si>
    <t>2038-01</t>
  </si>
  <si>
    <t>2038-02</t>
  </si>
  <si>
    <t>2038-03</t>
  </si>
  <si>
    <t>2038-04</t>
  </si>
  <si>
    <t>2038-05</t>
  </si>
  <si>
    <t>2038-06</t>
  </si>
  <si>
    <t>2038-07</t>
  </si>
  <si>
    <t>2038-08</t>
  </si>
  <si>
    <t>2038-09</t>
  </si>
  <si>
    <t>2038-10</t>
  </si>
  <si>
    <t>2038-11</t>
  </si>
  <si>
    <t>2038-12</t>
  </si>
  <si>
    <t>2039-01</t>
  </si>
  <si>
    <t>2039-02</t>
  </si>
  <si>
    <t>2039-03</t>
  </si>
  <si>
    <t>2039-04</t>
  </si>
  <si>
    <t>2039-05</t>
  </si>
  <si>
    <t>2039-06</t>
  </si>
  <si>
    <t>2039-07</t>
  </si>
  <si>
    <t>2039-08</t>
  </si>
  <si>
    <t>2039-09</t>
  </si>
  <si>
    <t>2039-10</t>
  </si>
  <si>
    <t>2039-11</t>
  </si>
  <si>
    <t>2039-12</t>
  </si>
  <si>
    <t>2040-01</t>
  </si>
  <si>
    <t>2040-02</t>
  </si>
  <si>
    <t>2040-03</t>
  </si>
  <si>
    <t>2040-04</t>
  </si>
  <si>
    <t>2040-05</t>
  </si>
  <si>
    <t>2040-06</t>
  </si>
  <si>
    <t>2040-07</t>
  </si>
  <si>
    <t>2040-08</t>
  </si>
  <si>
    <t>2040-09</t>
  </si>
  <si>
    <t>2040-10</t>
  </si>
  <si>
    <t>2040-11</t>
  </si>
  <si>
    <t>2040-12</t>
  </si>
  <si>
    <t>2041-01</t>
  </si>
  <si>
    <t>2041-02</t>
  </si>
  <si>
    <t>2041-03</t>
  </si>
  <si>
    <t>2041-04</t>
  </si>
  <si>
    <t>2041-05</t>
  </si>
  <si>
    <t>2041-06</t>
  </si>
  <si>
    <t>2041-07</t>
  </si>
  <si>
    <t>2041-08</t>
  </si>
  <si>
    <t>2041-09</t>
  </si>
  <si>
    <t>2041-10</t>
  </si>
  <si>
    <t>2041-11</t>
  </si>
  <si>
    <t>2041-12</t>
  </si>
  <si>
    <t>2042-01</t>
  </si>
  <si>
    <t>2042-02</t>
  </si>
  <si>
    <t>2042-03</t>
  </si>
  <si>
    <t>2042-04</t>
  </si>
  <si>
    <t>2042-05</t>
  </si>
  <si>
    <t>2042-06</t>
  </si>
  <si>
    <t>2042-07</t>
  </si>
  <si>
    <t>2042-08</t>
  </si>
  <si>
    <t>2042-09</t>
  </si>
  <si>
    <t>2042-10</t>
  </si>
  <si>
    <t>2042-11</t>
  </si>
  <si>
    <t>2042-12</t>
  </si>
  <si>
    <t>2043-01</t>
  </si>
  <si>
    <t>2043-02</t>
  </si>
  <si>
    <t>2043-03</t>
  </si>
  <si>
    <t>ИТОГО ЗА ГОРИЗОНТ</t>
  </si>
  <si>
    <t>КЛЮЧЕВЫЕ ПОКАЗАТЕЛИ ПРОЕКТА</t>
  </si>
  <si>
    <t>Проект</t>
  </si>
  <si>
    <t>Дата начала</t>
  </si>
  <si>
    <t>ПОКАЗАТЕЛИ ЭФФЕКТИВНОСТИ</t>
  </si>
  <si>
    <t>NPV (чистая приведённая стоимость)</t>
  </si>
  <si>
    <t>IRR (годовая внутренняя норма доходности)</t>
  </si>
  <si>
    <t>%</t>
  </si>
  <si>
    <t>ROI (рентабельность СС за горизонт)</t>
  </si>
  <si>
    <t>Срок окупаемости</t>
  </si>
  <si>
    <t>Ставка дисконтирования (ЦБ)</t>
  </si>
  <si>
    <t>ФИНАНСОВЫЕ ИТОГИ ЗА ГОРИЗОНТ</t>
  </si>
  <si>
    <t>Суммарная выручка (с НДС)</t>
  </si>
  <si>
    <t>Суммарная выручка (без НДС)</t>
  </si>
  <si>
    <t>Чистая прибыль (суммарно)</t>
  </si>
  <si>
    <t>НАЛОГИ И ПЛАТЕЖИ ЗА ГОРИЗОНТ</t>
  </si>
  <si>
    <t>НДС к уплате (выплаты в бюджет)</t>
  </si>
  <si>
    <t>Возврат НДС из строительства</t>
  </si>
  <si>
    <t>Налог на имущество</t>
  </si>
  <si>
    <t>Проценты по кредиту</t>
  </si>
  <si>
    <t>СТРУКТУРА ФИНАНСИРОВАНИЯ</t>
  </si>
  <si>
    <t>Кредит</t>
  </si>
  <si>
    <t>Итого инвестиций</t>
  </si>
  <si>
    <t>АНАЛИЗ ЧУВСТВИТЕЛЬНОСТИ</t>
  </si>
  <si>
    <t>Параметр</t>
  </si>
  <si>
    <t>Сценарий (пессимист)</t>
  </si>
  <si>
    <t>Базовый</t>
  </si>
  <si>
    <t>Сценарий (оптимист)</t>
  </si>
  <si>
    <t>NPV пессимист</t>
  </si>
  <si>
    <t>NPV базовый</t>
  </si>
  <si>
    <t>NPV оптимист</t>
  </si>
  <si>
    <t>Таблица заполняется командой /sensitivity &lt;name&gt;. Для пересчёта сценариев вручную измените параметры на листе «Параметры».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</si>
</sst>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000000"/>
      <name val="Calibri"/>
    </font>
    <font>
      <sz val="11"/>
      <color rgb="FF0000FF"/>
      <name val="Calibri"/>
    </font>
    <font>
      <sz val="11"/>
      <color rgb="FF7F7F7F"/>
      <name val="Calibri"/>
    </font>
    <font>
      <b/>
      <sz val="11"/>
      <color rgb="FF000000"/>
      <name val="Calibri"/>
    </font>
    <font>
      <sz val="11"/>
      <color rgb="FF008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7F9FC"/>
      </patternFill>
    </fill>
    <fill>
      <patternFill patternType="solid">
        <fgColor rgb="FFBDD7EE"/>
      </patternFill>
    </fill>
    <fill>
      <patternFill patternType="solid">
        <fgColor rgb="FFD9E1F2"/>
      </patternFill>
    </fill>
  </fills>
  <borders count="3">
    <border>
      <left/>
      <right/>
      <top/>
      <bottom/>
      <diagonal/>
    </border>
    <border>
      <left style="medium">
        <color rgb="FF4472C4"/>
      </left>
      <right style="medium">
        <color rgb="FF4472C4"/>
      </right>
      <top style="medium">
        <color rgb="FF4472C4"/>
      </top>
      <bottom style="medium">
        <color rgb="FF4472C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3" borderId="2" xfId="0" applyFont="1" applyFill="1" applyBorder="1" applyAlignment="1">
      <alignment horizontal="left" vertical="center"/>
    </xf>
    <xf numFmtId="0" fontId="2" fillId="3" borderId="2" xfId="0" applyFont="1" applyFill="1" applyBorder="1"/>
    <xf numFmtId="0" fontId="3" fillId="3" borderId="2" xfId="0" applyFont="1" applyFill="1" applyBorder="1" applyAlignment="1">
      <alignment horizontal="right" vertical="center"/>
    </xf>
    <xf numFmtId="0" fontId="2" fillId="3" borderId="0" xfId="0" applyFont="1" applyFill="1" applyAlignment="1">
      <alignment horizontal="left" vertical="center"/>
    </xf>
    <xf numFmtId="3" fontId="3" fillId="3" borderId="2" xfId="0" applyNumberFormat="1" applyFont="1" applyFill="1" applyBorder="1" applyAlignment="1">
      <alignment horizontal="right" vertical="center"/>
    </xf>
    <xf numFmtId="10" fontId="3" fillId="3" borderId="2" xfId="0" applyNumberFormat="1" applyFont="1" applyFill="1" applyBorder="1" applyAlignment="1">
      <alignment horizontal="right" vertical="center"/>
    </xf>
    <xf numFmtId="1" fontId="3" fillId="3" borderId="2" xfId="0" applyNumberFormat="1" applyFont="1" applyFill="1" applyBorder="1" applyAlignment="1">
      <alignment horizontal="right" vertical="center"/>
    </xf>
    <xf numFmtId="0" fontId="2" fillId="4" borderId="0" xfId="0" applyFont="1" applyFill="1" applyAlignment="1">
      <alignment horizontal="left" vertical="center"/>
    </xf>
    <xf numFmtId="3" fontId="2" fillId="4" borderId="2" xfId="0" applyNumberFormat="1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left" vertical="center"/>
    </xf>
    <xf numFmtId="3" fontId="2" fillId="5" borderId="2" xfId="0" applyNumberFormat="1" applyFont="1" applyFill="1" applyBorder="1" applyAlignment="1">
      <alignment horizontal="right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3" fontId="5" fillId="6" borderId="1" xfId="0" applyNumberFormat="1" applyFont="1" applyFill="1" applyBorder="1" applyAlignment="1">
      <alignment horizontal="right" vertical="center"/>
    </xf>
    <xf numFmtId="0" fontId="6" fillId="4" borderId="0" xfId="0" applyFont="1" applyFill="1" applyAlignment="1">
      <alignment horizontal="right" vertical="center"/>
    </xf>
    <xf numFmtId="0" fontId="5" fillId="6" borderId="2" xfId="0" applyFont="1" applyFill="1" applyBorder="1" applyAlignment="1">
      <alignment horizontal="left" vertical="center"/>
    </xf>
    <xf numFmtId="0" fontId="2" fillId="6" borderId="2" xfId="0" applyFont="1" applyFill="1" applyBorder="1" applyAlignment="1">
      <alignment horizontal="left" vertical="center"/>
    </xf>
    <xf numFmtId="3" fontId="2" fillId="6" borderId="2" xfId="0" applyNumberFormat="1" applyFont="1" applyFill="1" applyBorder="1" applyAlignment="1">
      <alignment horizontal="right" vertical="center"/>
    </xf>
    <xf numFmtId="10" fontId="2" fillId="6" borderId="2" xfId="0" applyNumberFormat="1" applyFont="1" applyFill="1" applyBorder="1" applyAlignment="1">
      <alignment horizontal="right" vertical="center"/>
    </xf>
    <xf numFmtId="0" fontId="5" fillId="7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0" fillId="0" borderId="0" xfId="0"/>
    <xf numFmtId="0" fontId="4" fillId="4" borderId="0" xfId="0" applyFont="1" applyFill="1" applyAlignment="1">
      <alignment horizontal="left" vertical="center"/>
    </xf>
    <xf numFmtId="0" fontId="2" fillId="6" borderId="2" xfId="0" applyNumberFormat="1" applyFont="1" applyFill="1" applyBorder="1" applyAlignment="1">
      <alignment horizontal="right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8"/>
  <sheetViews>
    <sheetView workbookViewId="0">
      <selection activeCell="C23" sqref="C23"/>
    </sheetView>
  </sheetViews>
  <sheetFormatPr defaultRowHeight="15" x14ac:dyDescent="0.25"/>
  <cols>
    <col min="1" max="1" width="40" customWidth="1"/>
    <col min="2" max="2" width="22" customWidth="1"/>
    <col min="3" max="3" width="20" customWidth="1"/>
  </cols>
  <sheetData>
    <row r="1" spans="1:3" ht="24" customHeight="1" x14ac:dyDescent="0.25">
      <c r="A1" s="24" t="s">
        <v>0</v>
      </c>
      <c r="B1" s="25"/>
      <c r="C1" s="25"/>
    </row>
    <row r="2" spans="1:3" x14ac:dyDescent="0.25">
      <c r="A2" s="1" t="s">
        <v>1</v>
      </c>
      <c r="B2" s="2"/>
      <c r="C2" s="3" t="s">
        <v>2</v>
      </c>
    </row>
    <row r="3" spans="1:3" x14ac:dyDescent="0.25">
      <c r="A3" s="1" t="s">
        <v>3</v>
      </c>
      <c r="B3" s="2" t="s">
        <v>4</v>
      </c>
      <c r="C3" s="3" t="s">
        <v>5</v>
      </c>
    </row>
    <row r="4" spans="1:3" x14ac:dyDescent="0.25">
      <c r="A4" s="4" t="s">
        <v>6</v>
      </c>
      <c r="B4" s="4" t="s">
        <v>7</v>
      </c>
      <c r="C4" s="5">
        <v>3000</v>
      </c>
    </row>
    <row r="5" spans="1:3" x14ac:dyDescent="0.25">
      <c r="A5" s="4" t="s">
        <v>8</v>
      </c>
      <c r="B5" s="4" t="s">
        <v>9</v>
      </c>
      <c r="C5" s="5">
        <v>150000000</v>
      </c>
    </row>
    <row r="6" spans="1:3" x14ac:dyDescent="0.25">
      <c r="A6" s="4" t="s">
        <v>10</v>
      </c>
      <c r="B6" s="4"/>
      <c r="C6" s="6">
        <v>0.6</v>
      </c>
    </row>
    <row r="7" spans="1:3" x14ac:dyDescent="0.25">
      <c r="A7" s="4" t="s">
        <v>11</v>
      </c>
      <c r="B7" s="4" t="s">
        <v>12</v>
      </c>
      <c r="C7" s="5">
        <v>950.4</v>
      </c>
    </row>
    <row r="8" spans="1:3" x14ac:dyDescent="0.25">
      <c r="A8" s="4" t="s">
        <v>13</v>
      </c>
      <c r="B8" s="4"/>
      <c r="C8" s="6">
        <v>0.08</v>
      </c>
    </row>
    <row r="9" spans="1:3" x14ac:dyDescent="0.25">
      <c r="A9" s="4" t="s">
        <v>14</v>
      </c>
      <c r="B9" s="4"/>
      <c r="C9" s="6">
        <v>0.14000000000000001</v>
      </c>
    </row>
    <row r="10" spans="1:3" x14ac:dyDescent="0.25">
      <c r="A10" s="4" t="s">
        <v>15</v>
      </c>
      <c r="B10" s="4"/>
      <c r="C10" s="6">
        <v>0.15</v>
      </c>
    </row>
    <row r="11" spans="1:3" x14ac:dyDescent="0.25">
      <c r="A11" s="4" t="s">
        <v>16</v>
      </c>
      <c r="B11" s="4" t="s">
        <v>17</v>
      </c>
      <c r="C11" s="7">
        <v>10</v>
      </c>
    </row>
    <row r="12" spans="1:3" x14ac:dyDescent="0.25">
      <c r="A12" s="4" t="s">
        <v>18</v>
      </c>
      <c r="B12" s="4" t="s">
        <v>17</v>
      </c>
      <c r="C12" s="7">
        <v>200</v>
      </c>
    </row>
    <row r="13" spans="1:3" x14ac:dyDescent="0.25">
      <c r="A13" s="4" t="s">
        <v>19</v>
      </c>
      <c r="B13" s="4"/>
      <c r="C13" s="6">
        <v>0.2</v>
      </c>
    </row>
    <row r="14" spans="1:3" x14ac:dyDescent="0.25">
      <c r="A14" s="4" t="s">
        <v>20</v>
      </c>
      <c r="B14" s="4"/>
      <c r="C14" s="6">
        <v>0.2</v>
      </c>
    </row>
    <row r="15" spans="1:3" x14ac:dyDescent="0.25">
      <c r="A15" s="4" t="s">
        <v>21</v>
      </c>
      <c r="B15" s="4" t="s">
        <v>22</v>
      </c>
      <c r="C15" s="6">
        <v>2.1999999999999999E-2</v>
      </c>
    </row>
    <row r="16" spans="1:3" x14ac:dyDescent="0.25">
      <c r="A16" s="4" t="s">
        <v>23</v>
      </c>
      <c r="B16" s="4" t="s">
        <v>24</v>
      </c>
      <c r="C16" s="6">
        <v>0.15</v>
      </c>
    </row>
    <row r="17" spans="1:3" x14ac:dyDescent="0.25">
      <c r="A17" s="4" t="s">
        <v>25</v>
      </c>
      <c r="B17" s="4" t="s">
        <v>26</v>
      </c>
      <c r="C17" s="7">
        <v>40</v>
      </c>
    </row>
    <row r="18" spans="1:3" x14ac:dyDescent="0.25">
      <c r="A18" s="24" t="s">
        <v>27</v>
      </c>
      <c r="B18" s="25"/>
      <c r="C18" s="25"/>
    </row>
    <row r="19" spans="1:3" x14ac:dyDescent="0.25">
      <c r="A19" s="26" t="s">
        <v>28</v>
      </c>
      <c r="B19" s="25"/>
      <c r="C19" s="25"/>
    </row>
    <row r="20" spans="1:3" x14ac:dyDescent="0.25">
      <c r="A20" s="8" t="s">
        <v>29</v>
      </c>
      <c r="B20" s="8" t="s">
        <v>9</v>
      </c>
      <c r="C20" s="9">
        <f>C5/(1+C13)</f>
        <v>125000000</v>
      </c>
    </row>
    <row r="21" spans="1:3" x14ac:dyDescent="0.25">
      <c r="A21" s="8" t="s">
        <v>30</v>
      </c>
      <c r="B21" s="8" t="s">
        <v>9</v>
      </c>
      <c r="C21" s="9">
        <f>C5-C20</f>
        <v>25000000</v>
      </c>
    </row>
    <row r="22" spans="1:3" x14ac:dyDescent="0.25">
      <c r="A22" s="8" t="s">
        <v>31</v>
      </c>
      <c r="B22" s="8" t="s">
        <v>9</v>
      </c>
      <c r="C22" s="9">
        <f>C5*C6</f>
        <v>90000000</v>
      </c>
    </row>
    <row r="23" spans="1:3" x14ac:dyDescent="0.25">
      <c r="A23" s="8" t="s">
        <v>32</v>
      </c>
      <c r="B23" s="8" t="s">
        <v>9</v>
      </c>
      <c r="C23" s="9">
        <f>C5*(1-C6)</f>
        <v>60000000</v>
      </c>
    </row>
    <row r="24" spans="1:3" x14ac:dyDescent="0.25">
      <c r="A24" s="8" t="s">
        <v>33</v>
      </c>
      <c r="B24" s="8" t="s">
        <v>9</v>
      </c>
      <c r="C24" s="9">
        <f>C5/C4</f>
        <v>50000</v>
      </c>
    </row>
    <row r="25" spans="1:3" x14ac:dyDescent="0.25">
      <c r="A25" s="8" t="s">
        <v>34</v>
      </c>
      <c r="B25" s="8" t="s">
        <v>17</v>
      </c>
      <c r="C25" s="9">
        <f>C12-C11</f>
        <v>190</v>
      </c>
    </row>
    <row r="26" spans="1:3" x14ac:dyDescent="0.25">
      <c r="A26" s="8" t="s">
        <v>35</v>
      </c>
      <c r="B26" s="8" t="s">
        <v>36</v>
      </c>
      <c r="C26" s="9">
        <f>-PMT(C10/12,C12-C11,C5*C6)</f>
        <v>1242261.9537864546</v>
      </c>
    </row>
    <row r="27" spans="1:3" x14ac:dyDescent="0.25">
      <c r="A27" s="8" t="s">
        <v>37</v>
      </c>
      <c r="B27" s="8" t="s">
        <v>36</v>
      </c>
      <c r="C27" s="9">
        <f>C20/(C17*12)</f>
        <v>260416.66666666666</v>
      </c>
    </row>
    <row r="28" spans="1:3" x14ac:dyDescent="0.25">
      <c r="A28" s="8" t="s">
        <v>38</v>
      </c>
      <c r="B28" s="8" t="s">
        <v>36</v>
      </c>
      <c r="C28" s="9">
        <f>(C5-C5/(1+C13))/3</f>
        <v>8333333.333333333</v>
      </c>
    </row>
  </sheetData>
  <mergeCells count="3">
    <mergeCell ref="A1:C1"/>
    <mergeCell ref="A18:C18"/>
    <mergeCell ref="A19:C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202"/>
  <sheetViews>
    <sheetView tabSelected="1" workbookViewId="0">
      <pane xSplit="3" ySplit="1" topLeftCell="G101" activePane="bottomRight" state="frozen"/>
      <selection pane="topRight"/>
      <selection pane="bottomLeft"/>
      <selection pane="bottomRight" activeCell="I101" sqref="I101"/>
    </sheetView>
  </sheetViews>
  <sheetFormatPr defaultRowHeight="15" x14ac:dyDescent="0.25"/>
  <cols>
    <col min="1" max="1" width="6" customWidth="1"/>
    <col min="2" max="2" width="10" customWidth="1"/>
    <col min="3" max="5" width="16" customWidth="1"/>
    <col min="6" max="9" width="14" customWidth="1"/>
    <col min="10" max="10" width="13" customWidth="1"/>
    <col min="11" max="14" width="14" customWidth="1"/>
    <col min="15" max="16" width="16" customWidth="1"/>
    <col min="17" max="18" width="13" customWidth="1"/>
    <col min="19" max="19" width="17" customWidth="1"/>
    <col min="20" max="20" width="16" customWidth="1"/>
    <col min="21" max="22" width="14" customWidth="1"/>
  </cols>
  <sheetData>
    <row r="1" spans="1:22" ht="30" customHeight="1" x14ac:dyDescent="0.25">
      <c r="A1" s="10" t="s">
        <v>39</v>
      </c>
      <c r="B1" s="10" t="s">
        <v>40</v>
      </c>
      <c r="C1" s="10" t="s">
        <v>41</v>
      </c>
      <c r="D1" s="10" t="s">
        <v>42</v>
      </c>
      <c r="E1" s="10" t="s">
        <v>43</v>
      </c>
      <c r="F1" s="10" t="s">
        <v>44</v>
      </c>
      <c r="G1" s="10" t="s">
        <v>45</v>
      </c>
      <c r="H1" s="10" t="s">
        <v>46</v>
      </c>
      <c r="I1" s="10" t="s">
        <v>47</v>
      </c>
      <c r="J1" s="10" t="s">
        <v>48</v>
      </c>
      <c r="K1" s="10" t="s">
        <v>49</v>
      </c>
      <c r="L1" s="10" t="s">
        <v>50</v>
      </c>
      <c r="M1" s="10" t="s">
        <v>51</v>
      </c>
      <c r="N1" s="10" t="s">
        <v>52</v>
      </c>
      <c r="O1" s="10" t="s">
        <v>53</v>
      </c>
      <c r="P1" s="10" t="s">
        <v>54</v>
      </c>
      <c r="Q1" s="10" t="s">
        <v>55</v>
      </c>
      <c r="R1" s="10" t="s">
        <v>56</v>
      </c>
      <c r="S1" s="10" t="s">
        <v>57</v>
      </c>
      <c r="T1" s="10" t="s">
        <v>58</v>
      </c>
      <c r="U1" s="10" t="s">
        <v>59</v>
      </c>
      <c r="V1" s="10" t="s">
        <v>60</v>
      </c>
    </row>
    <row r="2" spans="1:22" x14ac:dyDescent="0.25">
      <c r="A2" s="11">
        <v>1</v>
      </c>
      <c r="B2" s="11" t="s">
        <v>61</v>
      </c>
      <c r="C2" s="12" t="s">
        <v>62</v>
      </c>
      <c r="D2" s="13">
        <v>0</v>
      </c>
      <c r="E2" s="13">
        <v>0</v>
      </c>
      <c r="F2" s="13">
        <v>0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  <c r="L2" s="13">
        <v>0</v>
      </c>
      <c r="M2" s="13">
        <f>T2*Параметры!$C$10/12</f>
        <v>112500</v>
      </c>
      <c r="N2" s="13">
        <f t="shared" ref="N2:N11" si="0">-M2</f>
        <v>-112500</v>
      </c>
      <c r="O2" s="13">
        <v>0</v>
      </c>
      <c r="P2" s="13">
        <v>0</v>
      </c>
      <c r="Q2" s="13">
        <f>Параметры!$C$5/Параметры!$C$11</f>
        <v>15000000</v>
      </c>
      <c r="R2" s="13">
        <f>Параметры!$C$22/Параметры!$C$11</f>
        <v>9000000</v>
      </c>
      <c r="S2" s="13">
        <v>0</v>
      </c>
      <c r="T2" s="13">
        <f>Параметры!$C$22/Параметры!$C$11*A2</f>
        <v>9000000</v>
      </c>
      <c r="U2" s="13">
        <f>-(Параметры!$C$23/Параметры!$C$11+M2)</f>
        <v>-6112500</v>
      </c>
      <c r="V2" s="13">
        <f>U2</f>
        <v>-6112500</v>
      </c>
    </row>
    <row r="3" spans="1:22" x14ac:dyDescent="0.25">
      <c r="A3" s="14">
        <v>2</v>
      </c>
      <c r="B3" s="14" t="s">
        <v>63</v>
      </c>
      <c r="C3" s="15" t="s">
        <v>62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f>T3*Параметры!$C$10/12</f>
        <v>225000</v>
      </c>
      <c r="N3" s="9">
        <f t="shared" si="0"/>
        <v>-225000</v>
      </c>
      <c r="O3" s="9">
        <v>0</v>
      </c>
      <c r="P3" s="9">
        <v>0</v>
      </c>
      <c r="Q3" s="9">
        <f>Параметры!$C$5/Параметры!$C$11</f>
        <v>15000000</v>
      </c>
      <c r="R3" s="9">
        <f>Параметры!$C$22/Параметры!$C$11</f>
        <v>9000000</v>
      </c>
      <c r="S3" s="9">
        <v>0</v>
      </c>
      <c r="T3" s="9">
        <f>Параметры!$C$22/Параметры!$C$11*A3</f>
        <v>18000000</v>
      </c>
      <c r="U3" s="9">
        <f>-(Параметры!$C$23/Параметры!$C$11+M3)</f>
        <v>-6225000</v>
      </c>
      <c r="V3" s="9">
        <f t="shared" ref="V3:V34" si="1">V2+U3</f>
        <v>-12337500</v>
      </c>
    </row>
    <row r="4" spans="1:22" x14ac:dyDescent="0.25">
      <c r="A4" s="11">
        <v>3</v>
      </c>
      <c r="B4" s="11" t="s">
        <v>64</v>
      </c>
      <c r="C4" s="12" t="s">
        <v>62</v>
      </c>
      <c r="D4" s="13">
        <v>0</v>
      </c>
      <c r="E4" s="13">
        <v>0</v>
      </c>
      <c r="F4" s="13">
        <v>0</v>
      </c>
      <c r="G4" s="13">
        <v>0</v>
      </c>
      <c r="H4" s="13">
        <v>0</v>
      </c>
      <c r="I4" s="13">
        <v>0</v>
      </c>
      <c r="J4" s="13">
        <v>0</v>
      </c>
      <c r="K4" s="13">
        <v>0</v>
      </c>
      <c r="L4" s="13">
        <v>0</v>
      </c>
      <c r="M4" s="13">
        <f>T4*Параметры!$C$10/12</f>
        <v>337500</v>
      </c>
      <c r="N4" s="13">
        <f t="shared" si="0"/>
        <v>-337500</v>
      </c>
      <c r="O4" s="13">
        <v>0</v>
      </c>
      <c r="P4" s="13">
        <v>0</v>
      </c>
      <c r="Q4" s="13">
        <f>Параметры!$C$5/Параметры!$C$11</f>
        <v>15000000</v>
      </c>
      <c r="R4" s="13">
        <f>Параметры!$C$22/Параметры!$C$11</f>
        <v>9000000</v>
      </c>
      <c r="S4" s="13">
        <v>0</v>
      </c>
      <c r="T4" s="13">
        <f>Параметры!$C$22/Параметры!$C$11*A4</f>
        <v>27000000</v>
      </c>
      <c r="U4" s="13">
        <f>-(Параметры!$C$23/Параметры!$C$11+M4)</f>
        <v>-6337500</v>
      </c>
      <c r="V4" s="13">
        <f t="shared" si="1"/>
        <v>-18675000</v>
      </c>
    </row>
    <row r="5" spans="1:22" x14ac:dyDescent="0.25">
      <c r="A5" s="14">
        <v>4</v>
      </c>
      <c r="B5" s="14" t="s">
        <v>65</v>
      </c>
      <c r="C5" s="15" t="s">
        <v>62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f>T5*Параметры!$C$10/12</f>
        <v>450000</v>
      </c>
      <c r="N5" s="9">
        <f t="shared" si="0"/>
        <v>-450000</v>
      </c>
      <c r="O5" s="9">
        <v>0</v>
      </c>
      <c r="P5" s="9">
        <v>0</v>
      </c>
      <c r="Q5" s="9">
        <f>Параметры!$C$5/Параметры!$C$11</f>
        <v>15000000</v>
      </c>
      <c r="R5" s="9">
        <f>Параметры!$C$22/Параметры!$C$11</f>
        <v>9000000</v>
      </c>
      <c r="S5" s="9">
        <v>0</v>
      </c>
      <c r="T5" s="9">
        <f>Параметры!$C$22/Параметры!$C$11*A5</f>
        <v>36000000</v>
      </c>
      <c r="U5" s="9">
        <f>-(Параметры!$C$23/Параметры!$C$11+M5)</f>
        <v>-6450000</v>
      </c>
      <c r="V5" s="9">
        <f t="shared" si="1"/>
        <v>-25125000</v>
      </c>
    </row>
    <row r="6" spans="1:22" x14ac:dyDescent="0.25">
      <c r="A6" s="11">
        <v>5</v>
      </c>
      <c r="B6" s="11" t="s">
        <v>66</v>
      </c>
      <c r="C6" s="12" t="s">
        <v>62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>
        <v>0</v>
      </c>
      <c r="L6" s="13">
        <v>0</v>
      </c>
      <c r="M6" s="13">
        <f>T6*Параметры!$C$10/12</f>
        <v>562500</v>
      </c>
      <c r="N6" s="13">
        <f t="shared" si="0"/>
        <v>-562500</v>
      </c>
      <c r="O6" s="13">
        <v>0</v>
      </c>
      <c r="P6" s="13">
        <v>0</v>
      </c>
      <c r="Q6" s="13">
        <f>Параметры!$C$5/Параметры!$C$11</f>
        <v>15000000</v>
      </c>
      <c r="R6" s="13">
        <f>Параметры!$C$22/Параметры!$C$11</f>
        <v>9000000</v>
      </c>
      <c r="S6" s="13">
        <v>0</v>
      </c>
      <c r="T6" s="13">
        <f>Параметры!$C$22/Параметры!$C$11*A6</f>
        <v>45000000</v>
      </c>
      <c r="U6" s="13">
        <f>-(Параметры!$C$23/Параметры!$C$11+M6)</f>
        <v>-6562500</v>
      </c>
      <c r="V6" s="13">
        <f t="shared" si="1"/>
        <v>-31687500</v>
      </c>
    </row>
    <row r="7" spans="1:22" x14ac:dyDescent="0.25">
      <c r="A7" s="14">
        <v>6</v>
      </c>
      <c r="B7" s="14" t="s">
        <v>67</v>
      </c>
      <c r="C7" s="15" t="s">
        <v>62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f>T7*Параметры!$C$10/12</f>
        <v>675000</v>
      </c>
      <c r="N7" s="9">
        <f t="shared" si="0"/>
        <v>-675000</v>
      </c>
      <c r="O7" s="9">
        <v>0</v>
      </c>
      <c r="P7" s="9">
        <v>0</v>
      </c>
      <c r="Q7" s="9">
        <f>Параметры!$C$5/Параметры!$C$11</f>
        <v>15000000</v>
      </c>
      <c r="R7" s="9">
        <f>Параметры!$C$22/Параметры!$C$11</f>
        <v>9000000</v>
      </c>
      <c r="S7" s="9">
        <v>0</v>
      </c>
      <c r="T7" s="9">
        <f>Параметры!$C$22/Параметры!$C$11*A7</f>
        <v>54000000</v>
      </c>
      <c r="U7" s="9">
        <f>-(Параметры!$C$23/Параметры!$C$11+M7)</f>
        <v>-6675000</v>
      </c>
      <c r="V7" s="9">
        <f t="shared" si="1"/>
        <v>-38362500</v>
      </c>
    </row>
    <row r="8" spans="1:22" x14ac:dyDescent="0.25">
      <c r="A8" s="11">
        <v>7</v>
      </c>
      <c r="B8" s="11" t="s">
        <v>68</v>
      </c>
      <c r="C8" s="12" t="s">
        <v>62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f>T8*Параметры!$C$10/12</f>
        <v>787500</v>
      </c>
      <c r="N8" s="13">
        <f t="shared" si="0"/>
        <v>-787500</v>
      </c>
      <c r="O8" s="13">
        <v>0</v>
      </c>
      <c r="P8" s="13">
        <v>0</v>
      </c>
      <c r="Q8" s="13">
        <f>Параметры!$C$5/Параметры!$C$11</f>
        <v>15000000</v>
      </c>
      <c r="R8" s="13">
        <f>Параметры!$C$22/Параметры!$C$11</f>
        <v>9000000</v>
      </c>
      <c r="S8" s="13">
        <v>0</v>
      </c>
      <c r="T8" s="13">
        <f>Параметры!$C$22/Параметры!$C$11*A8</f>
        <v>63000000</v>
      </c>
      <c r="U8" s="13">
        <f>-(Параметры!$C$23/Параметры!$C$11+M8)</f>
        <v>-6787500</v>
      </c>
      <c r="V8" s="13">
        <f t="shared" si="1"/>
        <v>-45150000</v>
      </c>
    </row>
    <row r="9" spans="1:22" x14ac:dyDescent="0.25">
      <c r="A9" s="14">
        <v>8</v>
      </c>
      <c r="B9" s="14" t="s">
        <v>69</v>
      </c>
      <c r="C9" s="15" t="s">
        <v>62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f>T9*Параметры!$C$10/12</f>
        <v>900000</v>
      </c>
      <c r="N9" s="9">
        <f t="shared" si="0"/>
        <v>-900000</v>
      </c>
      <c r="O9" s="9">
        <v>0</v>
      </c>
      <c r="P9" s="9">
        <v>0</v>
      </c>
      <c r="Q9" s="9">
        <f>Параметры!$C$5/Параметры!$C$11</f>
        <v>15000000</v>
      </c>
      <c r="R9" s="9">
        <f>Параметры!$C$22/Параметры!$C$11</f>
        <v>9000000</v>
      </c>
      <c r="S9" s="9">
        <v>0</v>
      </c>
      <c r="T9" s="9">
        <f>Параметры!$C$22/Параметры!$C$11*A9</f>
        <v>72000000</v>
      </c>
      <c r="U9" s="9">
        <f>-(Параметры!$C$23/Параметры!$C$11+M9)</f>
        <v>-6900000</v>
      </c>
      <c r="V9" s="9">
        <f t="shared" si="1"/>
        <v>-52050000</v>
      </c>
    </row>
    <row r="10" spans="1:22" x14ac:dyDescent="0.25">
      <c r="A10" s="11">
        <v>9</v>
      </c>
      <c r="B10" s="11" t="s">
        <v>70</v>
      </c>
      <c r="C10" s="12" t="s">
        <v>62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f>T10*Параметры!$C$10/12</f>
        <v>1012500</v>
      </c>
      <c r="N10" s="13">
        <f t="shared" si="0"/>
        <v>-1012500</v>
      </c>
      <c r="O10" s="13">
        <v>0</v>
      </c>
      <c r="P10" s="13">
        <v>0</v>
      </c>
      <c r="Q10" s="13">
        <f>Параметры!$C$5/Параметры!$C$11</f>
        <v>15000000</v>
      </c>
      <c r="R10" s="13">
        <f>Параметры!$C$22/Параметры!$C$11</f>
        <v>9000000</v>
      </c>
      <c r="S10" s="13">
        <v>0</v>
      </c>
      <c r="T10" s="13">
        <f>Параметры!$C$22/Параметры!$C$11*A10</f>
        <v>81000000</v>
      </c>
      <c r="U10" s="13">
        <f>-(Параметры!$C$23/Параметры!$C$11+M10)</f>
        <v>-7012500</v>
      </c>
      <c r="V10" s="13">
        <f t="shared" si="1"/>
        <v>-59062500</v>
      </c>
    </row>
    <row r="11" spans="1:22" x14ac:dyDescent="0.25">
      <c r="A11" s="14">
        <v>10</v>
      </c>
      <c r="B11" s="14" t="s">
        <v>71</v>
      </c>
      <c r="C11" s="15" t="s">
        <v>62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f>T11*Параметры!$C$10/12</f>
        <v>1125000</v>
      </c>
      <c r="N11" s="9">
        <f t="shared" si="0"/>
        <v>-1125000</v>
      </c>
      <c r="O11" s="9">
        <v>0</v>
      </c>
      <c r="P11" s="9">
        <v>0</v>
      </c>
      <c r="Q11" s="9">
        <f>Параметры!$C$5/Параметры!$C$11</f>
        <v>15000000</v>
      </c>
      <c r="R11" s="9">
        <f>Параметры!$C$22/Параметры!$C$11</f>
        <v>9000000</v>
      </c>
      <c r="S11" s="9">
        <v>0</v>
      </c>
      <c r="T11" s="9">
        <f>Параметры!$C$22/Параметры!$C$11*A11</f>
        <v>90000000</v>
      </c>
      <c r="U11" s="9">
        <f>-(Параметры!$C$23/Параметры!$C$11+M11)</f>
        <v>-7125000</v>
      </c>
      <c r="V11" s="9">
        <f t="shared" si="1"/>
        <v>-66187500</v>
      </c>
    </row>
    <row r="12" spans="1:22" x14ac:dyDescent="0.25">
      <c r="A12" s="11">
        <v>11</v>
      </c>
      <c r="B12" s="11" t="s">
        <v>72</v>
      </c>
      <c r="C12" s="12" t="s">
        <v>73</v>
      </c>
      <c r="D12" s="13">
        <f>Параметры!$C$4*Параметры!$C$7*(1+Параметры!$C$8)^INT((A12-Параметры!$C$11-1)/12)</f>
        <v>2851200</v>
      </c>
      <c r="E12" s="13">
        <f>D12/(1+Параметры!$C$13)</f>
        <v>2376000</v>
      </c>
      <c r="F12" s="13">
        <f t="shared" ref="F12:F43" si="2">D12-E12</f>
        <v>475200</v>
      </c>
      <c r="G12" s="13">
        <f>IF(AND(A12&gt;Параметры!$C$11,A12&lt;=Параметры!$C$11+3),Параметры!$C$28,0)</f>
        <v>8333333.333333333</v>
      </c>
      <c r="H12" s="13">
        <f t="shared" ref="H12:H43" si="3">F12-G12</f>
        <v>-7858133.333333333</v>
      </c>
      <c r="I12" s="13">
        <f>E12*Параметры!$C$16</f>
        <v>356400</v>
      </c>
      <c r="J12" s="13">
        <f>Параметры!$C$27</f>
        <v>260416.66666666666</v>
      </c>
      <c r="K12" s="13">
        <f>MAX(0,Параметры!$C$20-Параметры!$C$27*MAX(0,A12-Параметры!$C$11-1))*Параметры!$C$15/12</f>
        <v>229166.66666666666</v>
      </c>
      <c r="L12" s="13">
        <f t="shared" ref="L12:L43" si="4">E12-I12-J12-K12</f>
        <v>1530016.6666666665</v>
      </c>
      <c r="M12" s="13">
        <f>T11*Параметры!$C$10/12</f>
        <v>1125000</v>
      </c>
      <c r="N12" s="13">
        <f t="shared" ref="N12:N43" si="5">L12-M12</f>
        <v>405016.66666666651</v>
      </c>
      <c r="O12" s="13">
        <f>MAX(0,N12*Параметры!$C$14)</f>
        <v>81003.333333333314</v>
      </c>
      <c r="P12" s="13">
        <f t="shared" ref="P12:P43" si="6">N12-O12</f>
        <v>324013.3333333332</v>
      </c>
      <c r="Q12" s="13">
        <v>0</v>
      </c>
      <c r="R12" s="13">
        <v>0</v>
      </c>
      <c r="S12" s="13">
        <f>MAX(0,MIN(Параметры!$C$26-M12,T11))</f>
        <v>117261.95378645463</v>
      </c>
      <c r="T12" s="13">
        <f t="shared" ref="T12:T43" si="7">MAX(0,T11-S12)</f>
        <v>89882738.046213552</v>
      </c>
      <c r="U12" s="13">
        <f t="shared" ref="U12:U43" si="8">P12+J12-S12-H12</f>
        <v>8325301.3795468779</v>
      </c>
      <c r="V12" s="13">
        <f t="shared" si="1"/>
        <v>-57862198.620453119</v>
      </c>
    </row>
    <row r="13" spans="1:22" x14ac:dyDescent="0.25">
      <c r="A13" s="14">
        <v>12</v>
      </c>
      <c r="B13" s="14" t="s">
        <v>74</v>
      </c>
      <c r="C13" s="15" t="s">
        <v>73</v>
      </c>
      <c r="D13" s="9">
        <f>Параметры!$C$4*Параметры!$C$7*(1+Параметры!$C$8)^INT((A13-Параметры!$C$11-1)/12)</f>
        <v>2851200</v>
      </c>
      <c r="E13" s="9">
        <f>D13/(1+Параметры!$C$13)</f>
        <v>2376000</v>
      </c>
      <c r="F13" s="9">
        <f t="shared" si="2"/>
        <v>475200</v>
      </c>
      <c r="G13" s="9">
        <f>IF(AND(A13&gt;Параметры!$C$11,A13&lt;=Параметры!$C$11+3),Параметры!$C$28,0)</f>
        <v>8333333.333333333</v>
      </c>
      <c r="H13" s="9">
        <f t="shared" si="3"/>
        <v>-7858133.333333333</v>
      </c>
      <c r="I13" s="9">
        <f>E13*Параметры!$C$16</f>
        <v>356400</v>
      </c>
      <c r="J13" s="9">
        <f>Параметры!$C$27</f>
        <v>260416.66666666666</v>
      </c>
      <c r="K13" s="9">
        <f>MAX(0,Параметры!$C$20-Параметры!$C$27*MAX(0,A13-Параметры!$C$11-1))*Параметры!$C$15/12</f>
        <v>228689.23611111109</v>
      </c>
      <c r="L13" s="9">
        <f t="shared" si="4"/>
        <v>1530494.0972222222</v>
      </c>
      <c r="M13" s="9">
        <f>T12*Параметры!$C$10/12</f>
        <v>1123534.2255776695</v>
      </c>
      <c r="N13" s="9">
        <f t="shared" si="5"/>
        <v>406959.8716445528</v>
      </c>
      <c r="O13" s="9">
        <f>MAX(0,N13*Параметры!$C$14)</f>
        <v>81391.974328910568</v>
      </c>
      <c r="P13" s="9">
        <f t="shared" si="6"/>
        <v>325567.89731564221</v>
      </c>
      <c r="Q13" s="9">
        <v>0</v>
      </c>
      <c r="R13" s="9">
        <v>0</v>
      </c>
      <c r="S13" s="9">
        <f>MAX(0,MIN(Параметры!$C$26-M13,T12))</f>
        <v>118727.72820878518</v>
      </c>
      <c r="T13" s="9">
        <f t="shared" si="7"/>
        <v>89764010.318004772</v>
      </c>
      <c r="U13" s="9">
        <f t="shared" si="8"/>
        <v>8325390.1691068569</v>
      </c>
      <c r="V13" s="9">
        <f t="shared" si="1"/>
        <v>-49536808.451346263</v>
      </c>
    </row>
    <row r="14" spans="1:22" x14ac:dyDescent="0.25">
      <c r="A14" s="11">
        <v>13</v>
      </c>
      <c r="B14" s="11" t="s">
        <v>75</v>
      </c>
      <c r="C14" s="12" t="s">
        <v>73</v>
      </c>
      <c r="D14" s="13">
        <f>Параметры!$C$4*Параметры!$C$7*(1+Параметры!$C$8)^INT((A14-Параметры!$C$11-1)/12)</f>
        <v>2851200</v>
      </c>
      <c r="E14" s="13">
        <f>D14/(1+Параметры!$C$13)</f>
        <v>2376000</v>
      </c>
      <c r="F14" s="13">
        <f t="shared" si="2"/>
        <v>475200</v>
      </c>
      <c r="G14" s="13">
        <f>IF(AND(A14&gt;Параметры!$C$11,A14&lt;=Параметры!$C$11+3),Параметры!$C$28,0)</f>
        <v>8333333.333333333</v>
      </c>
      <c r="H14" s="13">
        <f t="shared" si="3"/>
        <v>-7858133.333333333</v>
      </c>
      <c r="I14" s="13">
        <f>E14*Параметры!$C$16</f>
        <v>356400</v>
      </c>
      <c r="J14" s="13">
        <f>Параметры!$C$27</f>
        <v>260416.66666666666</v>
      </c>
      <c r="K14" s="13">
        <f>MAX(0,Параметры!$C$20-Параметры!$C$27*MAX(0,A14-Параметры!$C$11-1))*Параметры!$C$15/12</f>
        <v>228211.80555555553</v>
      </c>
      <c r="L14" s="13">
        <f t="shared" si="4"/>
        <v>1530971.5277777778</v>
      </c>
      <c r="M14" s="13">
        <f>T13*Параметры!$C$10/12</f>
        <v>1122050.1289750596</v>
      </c>
      <c r="N14" s="13">
        <f t="shared" si="5"/>
        <v>408921.39880271815</v>
      </c>
      <c r="O14" s="13">
        <f>MAX(0,N14*Параметры!$C$14)</f>
        <v>81784.279760543635</v>
      </c>
      <c r="P14" s="13">
        <f t="shared" si="6"/>
        <v>327137.11904217454</v>
      </c>
      <c r="Q14" s="13">
        <v>0</v>
      </c>
      <c r="R14" s="13">
        <v>0</v>
      </c>
      <c r="S14" s="13">
        <f>MAX(0,MIN(Параметры!$C$26-M14,T13))</f>
        <v>120211.82481139502</v>
      </c>
      <c r="T14" s="13">
        <f t="shared" si="7"/>
        <v>89643798.493193373</v>
      </c>
      <c r="U14" s="13">
        <f t="shared" si="8"/>
        <v>8325475.2942307796</v>
      </c>
      <c r="V14" s="13">
        <f t="shared" si="1"/>
        <v>-41211333.157115482</v>
      </c>
    </row>
    <row r="15" spans="1:22" x14ac:dyDescent="0.25">
      <c r="A15" s="14">
        <v>14</v>
      </c>
      <c r="B15" s="14" t="s">
        <v>76</v>
      </c>
      <c r="C15" s="15" t="s">
        <v>73</v>
      </c>
      <c r="D15" s="9">
        <f>Параметры!$C$4*Параметры!$C$7*(1+Параметры!$C$8)^INT((A15-Параметры!$C$11-1)/12)</f>
        <v>2851200</v>
      </c>
      <c r="E15" s="9">
        <f>D15/(1+Параметры!$C$13)</f>
        <v>2376000</v>
      </c>
      <c r="F15" s="9">
        <f t="shared" si="2"/>
        <v>475200</v>
      </c>
      <c r="G15" s="9">
        <f>IF(AND(A15&gt;Параметры!$C$11,A15&lt;=Параметры!$C$11+3),Параметры!$C$28,0)</f>
        <v>0</v>
      </c>
      <c r="H15" s="9">
        <f t="shared" si="3"/>
        <v>475200</v>
      </c>
      <c r="I15" s="9">
        <f>E15*Параметры!$C$16</f>
        <v>356400</v>
      </c>
      <c r="J15" s="9">
        <f>Параметры!$C$27</f>
        <v>260416.66666666666</v>
      </c>
      <c r="K15" s="9">
        <f>MAX(0,Параметры!$C$20-Параметры!$C$27*MAX(0,A15-Параметры!$C$11-1))*Параметры!$C$15/12</f>
        <v>227734.375</v>
      </c>
      <c r="L15" s="9">
        <f t="shared" si="4"/>
        <v>1531448.9583333333</v>
      </c>
      <c r="M15" s="9">
        <f>T14*Параметры!$C$10/12</f>
        <v>1120547.4811649171</v>
      </c>
      <c r="N15" s="9">
        <f t="shared" si="5"/>
        <v>410901.47716841614</v>
      </c>
      <c r="O15" s="9">
        <f>MAX(0,N15*Параметры!$C$14)</f>
        <v>82180.295433683234</v>
      </c>
      <c r="P15" s="9">
        <f t="shared" si="6"/>
        <v>328721.18173473293</v>
      </c>
      <c r="Q15" s="9">
        <v>0</v>
      </c>
      <c r="R15" s="9">
        <v>0</v>
      </c>
      <c r="S15" s="9">
        <f>MAX(0,MIN(Параметры!$C$26-M15,T14))</f>
        <v>121714.47262153751</v>
      </c>
      <c r="T15" s="9">
        <f t="shared" si="7"/>
        <v>89522084.020571843</v>
      </c>
      <c r="U15" s="9">
        <f t="shared" si="8"/>
        <v>-7776.62422013795</v>
      </c>
      <c r="V15" s="9">
        <f t="shared" si="1"/>
        <v>-41219109.781335622</v>
      </c>
    </row>
    <row r="16" spans="1:22" x14ac:dyDescent="0.25">
      <c r="A16" s="11">
        <v>15</v>
      </c>
      <c r="B16" s="11" t="s">
        <v>77</v>
      </c>
      <c r="C16" s="12" t="s">
        <v>73</v>
      </c>
      <c r="D16" s="13">
        <f>Параметры!$C$4*Параметры!$C$7*(1+Параметры!$C$8)^INT((A16-Параметры!$C$11-1)/12)</f>
        <v>2851200</v>
      </c>
      <c r="E16" s="13">
        <f>D16/(1+Параметры!$C$13)</f>
        <v>2376000</v>
      </c>
      <c r="F16" s="13">
        <f t="shared" si="2"/>
        <v>475200</v>
      </c>
      <c r="G16" s="13">
        <f>IF(AND(A16&gt;Параметры!$C$11,A16&lt;=Параметры!$C$11+3),Параметры!$C$28,0)</f>
        <v>0</v>
      </c>
      <c r="H16" s="13">
        <f t="shared" si="3"/>
        <v>475200</v>
      </c>
      <c r="I16" s="13">
        <f>E16*Параметры!$C$16</f>
        <v>356400</v>
      </c>
      <c r="J16" s="13">
        <f>Параметры!$C$27</f>
        <v>260416.66666666666</v>
      </c>
      <c r="K16" s="13">
        <f>MAX(0,Параметры!$C$20-Параметры!$C$27*MAX(0,A16-Параметры!$C$11-1))*Параметры!$C$15/12</f>
        <v>227256.94444444441</v>
      </c>
      <c r="L16" s="13">
        <f t="shared" si="4"/>
        <v>1531926.3888888888</v>
      </c>
      <c r="M16" s="13">
        <f>T15*Параметры!$C$10/12</f>
        <v>1119026.050257148</v>
      </c>
      <c r="N16" s="13">
        <f t="shared" si="5"/>
        <v>412900.33863174077</v>
      </c>
      <c r="O16" s="13">
        <f>MAX(0,N16*Параметры!$C$14)</f>
        <v>82580.067726348163</v>
      </c>
      <c r="P16" s="13">
        <f t="shared" si="6"/>
        <v>330320.27090539259</v>
      </c>
      <c r="Q16" s="13">
        <v>0</v>
      </c>
      <c r="R16" s="13">
        <v>0</v>
      </c>
      <c r="S16" s="13">
        <f>MAX(0,MIN(Параметры!$C$26-M16,T15))</f>
        <v>123235.90352930664</v>
      </c>
      <c r="T16" s="13">
        <f t="shared" si="7"/>
        <v>89398848.117042542</v>
      </c>
      <c r="U16" s="13">
        <f t="shared" si="8"/>
        <v>-7698.9659572474193</v>
      </c>
      <c r="V16" s="13">
        <f t="shared" si="1"/>
        <v>-41226808.747292869</v>
      </c>
    </row>
    <row r="17" spans="1:22" x14ac:dyDescent="0.25">
      <c r="A17" s="14">
        <v>16</v>
      </c>
      <c r="B17" s="14" t="s">
        <v>78</v>
      </c>
      <c r="C17" s="15" t="s">
        <v>73</v>
      </c>
      <c r="D17" s="9">
        <f>Параметры!$C$4*Параметры!$C$7*(1+Параметры!$C$8)^INT((A17-Параметры!$C$11-1)/12)</f>
        <v>2851200</v>
      </c>
      <c r="E17" s="9">
        <f>D17/(1+Параметры!$C$13)</f>
        <v>2376000</v>
      </c>
      <c r="F17" s="9">
        <f t="shared" si="2"/>
        <v>475200</v>
      </c>
      <c r="G17" s="9">
        <f>IF(AND(A17&gt;Параметры!$C$11,A17&lt;=Параметры!$C$11+3),Параметры!$C$28,0)</f>
        <v>0</v>
      </c>
      <c r="H17" s="9">
        <f t="shared" si="3"/>
        <v>475200</v>
      </c>
      <c r="I17" s="9">
        <f>E17*Параметры!$C$16</f>
        <v>356400</v>
      </c>
      <c r="J17" s="9">
        <f>Параметры!$C$27</f>
        <v>260416.66666666666</v>
      </c>
      <c r="K17" s="9">
        <f>MAX(0,Параметры!$C$20-Параметры!$C$27*MAX(0,A17-Параметры!$C$11-1))*Параметры!$C$15/12</f>
        <v>226779.51388888888</v>
      </c>
      <c r="L17" s="9">
        <f t="shared" si="4"/>
        <v>1532403.8194444445</v>
      </c>
      <c r="M17" s="9">
        <f>T16*Параметры!$C$10/12</f>
        <v>1117485.6014630317</v>
      </c>
      <c r="N17" s="9">
        <f t="shared" si="5"/>
        <v>414918.21798141277</v>
      </c>
      <c r="O17" s="9">
        <f>MAX(0,N17*Параметры!$C$14)</f>
        <v>82983.643596282564</v>
      </c>
      <c r="P17" s="9">
        <f t="shared" si="6"/>
        <v>331934.5743851302</v>
      </c>
      <c r="Q17" s="9">
        <v>0</v>
      </c>
      <c r="R17" s="9">
        <v>0</v>
      </c>
      <c r="S17" s="9">
        <f>MAX(0,MIN(Параметры!$C$26-M17,T16))</f>
        <v>124776.35232342291</v>
      </c>
      <c r="T17" s="9">
        <f t="shared" si="7"/>
        <v>89274071.764719114</v>
      </c>
      <c r="U17" s="9">
        <f t="shared" si="8"/>
        <v>-7625.1112716260832</v>
      </c>
      <c r="V17" s="9">
        <f t="shared" si="1"/>
        <v>-41234433.858564496</v>
      </c>
    </row>
    <row r="18" spans="1:22" x14ac:dyDescent="0.25">
      <c r="A18" s="11">
        <v>17</v>
      </c>
      <c r="B18" s="11" t="s">
        <v>79</v>
      </c>
      <c r="C18" s="12" t="s">
        <v>73</v>
      </c>
      <c r="D18" s="13">
        <f>Параметры!$C$4*Параметры!$C$7*(1+Параметры!$C$8)^INT((A18-Параметры!$C$11-1)/12)</f>
        <v>2851200</v>
      </c>
      <c r="E18" s="13">
        <f>D18/(1+Параметры!$C$13)</f>
        <v>2376000</v>
      </c>
      <c r="F18" s="13">
        <f t="shared" si="2"/>
        <v>475200</v>
      </c>
      <c r="G18" s="13">
        <f>IF(AND(A18&gt;Параметры!$C$11,A18&lt;=Параметры!$C$11+3),Параметры!$C$28,0)</f>
        <v>0</v>
      </c>
      <c r="H18" s="13">
        <f t="shared" si="3"/>
        <v>475200</v>
      </c>
      <c r="I18" s="13">
        <f>E18*Параметры!$C$16</f>
        <v>356400</v>
      </c>
      <c r="J18" s="13">
        <f>Параметры!$C$27</f>
        <v>260416.66666666666</v>
      </c>
      <c r="K18" s="13">
        <f>MAX(0,Параметры!$C$20-Параметры!$C$27*MAX(0,A18-Параметры!$C$11-1))*Параметры!$C$15/12</f>
        <v>226302.08333333334</v>
      </c>
      <c r="L18" s="13">
        <f t="shared" si="4"/>
        <v>1532881.25</v>
      </c>
      <c r="M18" s="13">
        <f>T17*Параметры!$C$10/12</f>
        <v>1115925.8970589889</v>
      </c>
      <c r="N18" s="13">
        <f t="shared" si="5"/>
        <v>416955.35294101108</v>
      </c>
      <c r="O18" s="13">
        <f>MAX(0,N18*Параметры!$C$14)</f>
        <v>83391.070588202216</v>
      </c>
      <c r="P18" s="13">
        <f t="shared" si="6"/>
        <v>333564.28235280886</v>
      </c>
      <c r="Q18" s="13">
        <v>0</v>
      </c>
      <c r="R18" s="13">
        <v>0</v>
      </c>
      <c r="S18" s="13">
        <f>MAX(0,MIN(Параметры!$C$26-M18,T17))</f>
        <v>126336.05672746571</v>
      </c>
      <c r="T18" s="13">
        <f t="shared" si="7"/>
        <v>89147735.707991645</v>
      </c>
      <c r="U18" s="13">
        <f t="shared" si="8"/>
        <v>-7555.107707990217</v>
      </c>
      <c r="V18" s="13">
        <f t="shared" si="1"/>
        <v>-41241988.966272488</v>
      </c>
    </row>
    <row r="19" spans="1:22" x14ac:dyDescent="0.25">
      <c r="A19" s="14">
        <v>18</v>
      </c>
      <c r="B19" s="14" t="s">
        <v>80</v>
      </c>
      <c r="C19" s="15" t="s">
        <v>73</v>
      </c>
      <c r="D19" s="9">
        <f>Параметры!$C$4*Параметры!$C$7*(1+Параметры!$C$8)^INT((A19-Параметры!$C$11-1)/12)</f>
        <v>2851200</v>
      </c>
      <c r="E19" s="9">
        <f>D19/(1+Параметры!$C$13)</f>
        <v>2376000</v>
      </c>
      <c r="F19" s="9">
        <f t="shared" si="2"/>
        <v>475200</v>
      </c>
      <c r="G19" s="9">
        <f>IF(AND(A19&gt;Параметры!$C$11,A19&lt;=Параметры!$C$11+3),Параметры!$C$28,0)</f>
        <v>0</v>
      </c>
      <c r="H19" s="9">
        <f t="shared" si="3"/>
        <v>475200</v>
      </c>
      <c r="I19" s="9">
        <f>E19*Параметры!$C$16</f>
        <v>356400</v>
      </c>
      <c r="J19" s="9">
        <f>Параметры!$C$27</f>
        <v>260416.66666666666</v>
      </c>
      <c r="K19" s="9">
        <f>MAX(0,Параметры!$C$20-Параметры!$C$27*MAX(0,A19-Параметры!$C$11-1))*Параметры!$C$15/12</f>
        <v>225824.65277777775</v>
      </c>
      <c r="L19" s="9">
        <f t="shared" si="4"/>
        <v>1533358.6805555555</v>
      </c>
      <c r="M19" s="9">
        <f>T18*Параметры!$C$10/12</f>
        <v>1114346.6963498956</v>
      </c>
      <c r="N19" s="9">
        <f t="shared" si="5"/>
        <v>419011.98420565994</v>
      </c>
      <c r="O19" s="9">
        <f>MAX(0,N19*Параметры!$C$14)</f>
        <v>83802.396841131995</v>
      </c>
      <c r="P19" s="9">
        <f t="shared" si="6"/>
        <v>335209.58736452798</v>
      </c>
      <c r="Q19" s="9">
        <v>0</v>
      </c>
      <c r="R19" s="9">
        <v>0</v>
      </c>
      <c r="S19" s="9">
        <f>MAX(0,MIN(Параметры!$C$26-M19,T18))</f>
        <v>127915.25743655907</v>
      </c>
      <c r="T19" s="9">
        <f t="shared" si="7"/>
        <v>89019820.450555086</v>
      </c>
      <c r="U19" s="9">
        <f t="shared" si="8"/>
        <v>-7489.0034053644631</v>
      </c>
      <c r="V19" s="9">
        <f t="shared" si="1"/>
        <v>-41249477.969677851</v>
      </c>
    </row>
    <row r="20" spans="1:22" x14ac:dyDescent="0.25">
      <c r="A20" s="11">
        <v>19</v>
      </c>
      <c r="B20" s="11" t="s">
        <v>81</v>
      </c>
      <c r="C20" s="12" t="s">
        <v>73</v>
      </c>
      <c r="D20" s="13">
        <f>Параметры!$C$4*Параметры!$C$7*(1+Параметры!$C$8)^INT((A20-Параметры!$C$11-1)/12)</f>
        <v>2851200</v>
      </c>
      <c r="E20" s="13">
        <f>D20/(1+Параметры!$C$13)</f>
        <v>2376000</v>
      </c>
      <c r="F20" s="13">
        <f t="shared" si="2"/>
        <v>475200</v>
      </c>
      <c r="G20" s="13">
        <f>IF(AND(A20&gt;Параметры!$C$11,A20&lt;=Параметры!$C$11+3),Параметры!$C$28,0)</f>
        <v>0</v>
      </c>
      <c r="H20" s="13">
        <f t="shared" si="3"/>
        <v>475200</v>
      </c>
      <c r="I20" s="13">
        <f>E20*Параметры!$C$16</f>
        <v>356400</v>
      </c>
      <c r="J20" s="13">
        <f>Параметры!$C$27</f>
        <v>260416.66666666666</v>
      </c>
      <c r="K20" s="13">
        <f>MAX(0,Параметры!$C$20-Параметры!$C$27*MAX(0,A20-Параметры!$C$11-1))*Параметры!$C$15/12</f>
        <v>225347.22222222222</v>
      </c>
      <c r="L20" s="13">
        <f t="shared" si="4"/>
        <v>1533836.111111111</v>
      </c>
      <c r="M20" s="13">
        <f>T19*Параметры!$C$10/12</f>
        <v>1112747.7556319386</v>
      </c>
      <c r="N20" s="13">
        <f t="shared" si="5"/>
        <v>421088.35547917243</v>
      </c>
      <c r="O20" s="13">
        <f>MAX(0,N20*Параметры!$C$14)</f>
        <v>84217.671095834492</v>
      </c>
      <c r="P20" s="13">
        <f t="shared" si="6"/>
        <v>336870.68438333797</v>
      </c>
      <c r="Q20" s="13">
        <v>0</v>
      </c>
      <c r="R20" s="13">
        <v>0</v>
      </c>
      <c r="S20" s="13">
        <f>MAX(0,MIN(Параметры!$C$26-M20,T19))</f>
        <v>129514.19815451605</v>
      </c>
      <c r="T20" s="13">
        <f t="shared" si="7"/>
        <v>88890306.252400577</v>
      </c>
      <c r="U20" s="13">
        <f t="shared" si="8"/>
        <v>-7426.8471045114566</v>
      </c>
      <c r="V20" s="13">
        <f t="shared" si="1"/>
        <v>-41256904.816782363</v>
      </c>
    </row>
    <row r="21" spans="1:22" x14ac:dyDescent="0.25">
      <c r="A21" s="14">
        <v>20</v>
      </c>
      <c r="B21" s="14" t="s">
        <v>82</v>
      </c>
      <c r="C21" s="15" t="s">
        <v>73</v>
      </c>
      <c r="D21" s="9">
        <f>Параметры!$C$4*Параметры!$C$7*(1+Параметры!$C$8)^INT((A21-Параметры!$C$11-1)/12)</f>
        <v>2851200</v>
      </c>
      <c r="E21" s="9">
        <f>D21/(1+Параметры!$C$13)</f>
        <v>2376000</v>
      </c>
      <c r="F21" s="9">
        <f t="shared" si="2"/>
        <v>475200</v>
      </c>
      <c r="G21" s="9">
        <f>IF(AND(A21&gt;Параметры!$C$11,A21&lt;=Параметры!$C$11+3),Параметры!$C$28,0)</f>
        <v>0</v>
      </c>
      <c r="H21" s="9">
        <f t="shared" si="3"/>
        <v>475200</v>
      </c>
      <c r="I21" s="9">
        <f>E21*Параметры!$C$16</f>
        <v>356400</v>
      </c>
      <c r="J21" s="9">
        <f>Параметры!$C$27</f>
        <v>260416.66666666666</v>
      </c>
      <c r="K21" s="9">
        <f>MAX(0,Параметры!$C$20-Параметры!$C$27*MAX(0,A21-Параметры!$C$11-1))*Параметры!$C$15/12</f>
        <v>224869.79166666666</v>
      </c>
      <c r="L21" s="9">
        <f t="shared" si="4"/>
        <v>1534313.5416666665</v>
      </c>
      <c r="M21" s="9">
        <f>T20*Параметры!$C$10/12</f>
        <v>1111128.8281550072</v>
      </c>
      <c r="N21" s="9">
        <f t="shared" si="5"/>
        <v>423184.7135116593</v>
      </c>
      <c r="O21" s="9">
        <f>MAX(0,N21*Параметры!$C$14)</f>
        <v>84636.942702331871</v>
      </c>
      <c r="P21" s="9">
        <f t="shared" si="6"/>
        <v>338547.77080932743</v>
      </c>
      <c r="Q21" s="9">
        <v>0</v>
      </c>
      <c r="R21" s="9">
        <v>0</v>
      </c>
      <c r="S21" s="9">
        <f>MAX(0,MIN(Параметры!$C$26-M21,T20))</f>
        <v>131133.12563144742</v>
      </c>
      <c r="T21" s="9">
        <f t="shared" si="7"/>
        <v>88759173.126769125</v>
      </c>
      <c r="U21" s="9">
        <f t="shared" si="8"/>
        <v>-7368.6881554533029</v>
      </c>
      <c r="V21" s="9">
        <f t="shared" si="1"/>
        <v>-41264273.504937813</v>
      </c>
    </row>
    <row r="22" spans="1:22" x14ac:dyDescent="0.25">
      <c r="A22" s="11">
        <v>21</v>
      </c>
      <c r="B22" s="11" t="s">
        <v>83</v>
      </c>
      <c r="C22" s="12" t="s">
        <v>73</v>
      </c>
      <c r="D22" s="13">
        <f>Параметры!$C$4*Параметры!$C$7*(1+Параметры!$C$8)^INT((A22-Параметры!$C$11-1)/12)</f>
        <v>2851200</v>
      </c>
      <c r="E22" s="13">
        <f>D22/(1+Параметры!$C$13)</f>
        <v>2376000</v>
      </c>
      <c r="F22" s="13">
        <f t="shared" si="2"/>
        <v>475200</v>
      </c>
      <c r="G22" s="13">
        <f>IF(AND(A22&gt;Параметры!$C$11,A22&lt;=Параметры!$C$11+3),Параметры!$C$28,0)</f>
        <v>0</v>
      </c>
      <c r="H22" s="13">
        <f t="shared" si="3"/>
        <v>475200</v>
      </c>
      <c r="I22" s="13">
        <f>E22*Параметры!$C$16</f>
        <v>356400</v>
      </c>
      <c r="J22" s="13">
        <f>Параметры!$C$27</f>
        <v>260416.66666666666</v>
      </c>
      <c r="K22" s="13">
        <f>MAX(0,Параметры!$C$20-Параметры!$C$27*MAX(0,A22-Параметры!$C$11-1))*Параметры!$C$15/12</f>
        <v>224392.36111111109</v>
      </c>
      <c r="L22" s="13">
        <f t="shared" si="4"/>
        <v>1534790.9722222222</v>
      </c>
      <c r="M22" s="13">
        <f>T21*Параметры!$C$10/12</f>
        <v>1109489.664084614</v>
      </c>
      <c r="N22" s="13">
        <f t="shared" si="5"/>
        <v>425301.30813760823</v>
      </c>
      <c r="O22" s="13">
        <f>MAX(0,N22*Параметры!$C$14)</f>
        <v>85060.261627521657</v>
      </c>
      <c r="P22" s="13">
        <f t="shared" si="6"/>
        <v>340241.04651008657</v>
      </c>
      <c r="Q22" s="13">
        <v>0</v>
      </c>
      <c r="R22" s="13">
        <v>0</v>
      </c>
      <c r="S22" s="13">
        <f>MAX(0,MIN(Параметры!$C$26-M22,T21))</f>
        <v>132772.28970184061</v>
      </c>
      <c r="T22" s="13">
        <f t="shared" si="7"/>
        <v>88626400.837067291</v>
      </c>
      <c r="U22" s="13">
        <f t="shared" si="8"/>
        <v>-7314.5765250873519</v>
      </c>
      <c r="V22" s="13">
        <f t="shared" si="1"/>
        <v>-41271588.081462897</v>
      </c>
    </row>
    <row r="23" spans="1:22" x14ac:dyDescent="0.25">
      <c r="A23" s="14">
        <v>22</v>
      </c>
      <c r="B23" s="14" t="s">
        <v>84</v>
      </c>
      <c r="C23" s="15" t="s">
        <v>73</v>
      </c>
      <c r="D23" s="9">
        <f>Параметры!$C$4*Параметры!$C$7*(1+Параметры!$C$8)^INT((A23-Параметры!$C$11-1)/12)</f>
        <v>2851200</v>
      </c>
      <c r="E23" s="9">
        <f>D23/(1+Параметры!$C$13)</f>
        <v>2376000</v>
      </c>
      <c r="F23" s="9">
        <f t="shared" si="2"/>
        <v>475200</v>
      </c>
      <c r="G23" s="9">
        <f>IF(AND(A23&gt;Параметры!$C$11,A23&lt;=Параметры!$C$11+3),Параметры!$C$28,0)</f>
        <v>0</v>
      </c>
      <c r="H23" s="9">
        <f t="shared" si="3"/>
        <v>475200</v>
      </c>
      <c r="I23" s="9">
        <f>E23*Параметры!$C$16</f>
        <v>356400</v>
      </c>
      <c r="J23" s="9">
        <f>Параметры!$C$27</f>
        <v>260416.66666666666</v>
      </c>
      <c r="K23" s="9">
        <f>MAX(0,Параметры!$C$20-Параметры!$C$27*MAX(0,A23-Параметры!$C$11-1))*Параметры!$C$15/12</f>
        <v>223914.93055555553</v>
      </c>
      <c r="L23" s="9">
        <f t="shared" si="4"/>
        <v>1535268.4027777778</v>
      </c>
      <c r="M23" s="9">
        <f>T22*Параметры!$C$10/12</f>
        <v>1107830.0104633411</v>
      </c>
      <c r="N23" s="9">
        <f t="shared" si="5"/>
        <v>427438.39231443661</v>
      </c>
      <c r="O23" s="9">
        <f>MAX(0,N23*Параметры!$C$14)</f>
        <v>85487.678462887328</v>
      </c>
      <c r="P23" s="9">
        <f t="shared" si="6"/>
        <v>341950.71385154931</v>
      </c>
      <c r="Q23" s="9">
        <v>0</v>
      </c>
      <c r="R23" s="9">
        <v>0</v>
      </c>
      <c r="S23" s="9">
        <f>MAX(0,MIN(Параметры!$C$26-M23,T22))</f>
        <v>134431.94332311349</v>
      </c>
      <c r="T23" s="9">
        <f t="shared" si="7"/>
        <v>88491968.893744171</v>
      </c>
      <c r="U23" s="9">
        <f t="shared" si="8"/>
        <v>-7264.5628048975486</v>
      </c>
      <c r="V23" s="9">
        <f t="shared" si="1"/>
        <v>-41278852.644267797</v>
      </c>
    </row>
    <row r="24" spans="1:22" x14ac:dyDescent="0.25">
      <c r="A24" s="11">
        <v>23</v>
      </c>
      <c r="B24" s="11" t="s">
        <v>85</v>
      </c>
      <c r="C24" s="12" t="s">
        <v>73</v>
      </c>
      <c r="D24" s="13">
        <f>Параметры!$C$4*Параметры!$C$7*(1+Параметры!$C$8)^INT((A24-Параметры!$C$11-1)/12)</f>
        <v>3079296</v>
      </c>
      <c r="E24" s="13">
        <f>D24/(1+Параметры!$C$13)</f>
        <v>2566080</v>
      </c>
      <c r="F24" s="13">
        <f t="shared" si="2"/>
        <v>513216</v>
      </c>
      <c r="G24" s="13">
        <f>IF(AND(A24&gt;Параметры!$C$11,A24&lt;=Параметры!$C$11+3),Параметры!$C$28,0)</f>
        <v>0</v>
      </c>
      <c r="H24" s="13">
        <f t="shared" si="3"/>
        <v>513216</v>
      </c>
      <c r="I24" s="13">
        <f>E24*Параметры!$C$16</f>
        <v>384912</v>
      </c>
      <c r="J24" s="13">
        <f>Параметры!$C$27</f>
        <v>260416.66666666666</v>
      </c>
      <c r="K24" s="13">
        <f>MAX(0,Параметры!$C$20-Параметры!$C$27*MAX(0,A24-Параметры!$C$11-1))*Параметры!$C$15/12</f>
        <v>223437.5</v>
      </c>
      <c r="L24" s="13">
        <f t="shared" si="4"/>
        <v>1697313.8333333333</v>
      </c>
      <c r="M24" s="13">
        <f>T23*Параметры!$C$10/12</f>
        <v>1106149.611171802</v>
      </c>
      <c r="N24" s="13">
        <f t="shared" si="5"/>
        <v>591164.22216153122</v>
      </c>
      <c r="O24" s="13">
        <f>MAX(0,N24*Параметры!$C$14)</f>
        <v>118232.84443230624</v>
      </c>
      <c r="P24" s="13">
        <f t="shared" si="6"/>
        <v>472931.37772922497</v>
      </c>
      <c r="Q24" s="13">
        <v>0</v>
      </c>
      <c r="R24" s="13">
        <v>0</v>
      </c>
      <c r="S24" s="13">
        <f>MAX(0,MIN(Параметры!$C$26-M24,T23))</f>
        <v>136112.34261465259</v>
      </c>
      <c r="T24" s="13">
        <f t="shared" si="7"/>
        <v>88355856.55112952</v>
      </c>
      <c r="U24" s="13">
        <f t="shared" si="8"/>
        <v>84019.701781239011</v>
      </c>
      <c r="V24" s="13">
        <f t="shared" si="1"/>
        <v>-41194832.942486562</v>
      </c>
    </row>
    <row r="25" spans="1:22" x14ac:dyDescent="0.25">
      <c r="A25" s="14">
        <v>24</v>
      </c>
      <c r="B25" s="14" t="s">
        <v>86</v>
      </c>
      <c r="C25" s="15" t="s">
        <v>73</v>
      </c>
      <c r="D25" s="9">
        <f>Параметры!$C$4*Параметры!$C$7*(1+Параметры!$C$8)^INT((A25-Параметры!$C$11-1)/12)</f>
        <v>3079296</v>
      </c>
      <c r="E25" s="9">
        <f>D25/(1+Параметры!$C$13)</f>
        <v>2566080</v>
      </c>
      <c r="F25" s="9">
        <f t="shared" si="2"/>
        <v>513216</v>
      </c>
      <c r="G25" s="9">
        <f>IF(AND(A25&gt;Параметры!$C$11,A25&lt;=Параметры!$C$11+3),Параметры!$C$28,0)</f>
        <v>0</v>
      </c>
      <c r="H25" s="9">
        <f t="shared" si="3"/>
        <v>513216</v>
      </c>
      <c r="I25" s="9">
        <f>E25*Параметры!$C$16</f>
        <v>384912</v>
      </c>
      <c r="J25" s="9">
        <f>Параметры!$C$27</f>
        <v>260416.66666666666</v>
      </c>
      <c r="K25" s="9">
        <f>MAX(0,Параметры!$C$20-Параметры!$C$27*MAX(0,A25-Параметры!$C$11-1))*Параметры!$C$15/12</f>
        <v>222960.06944444441</v>
      </c>
      <c r="L25" s="9">
        <f t="shared" si="4"/>
        <v>1697791.2638888888</v>
      </c>
      <c r="M25" s="9">
        <f>T24*Параметры!$C$10/12</f>
        <v>1104448.206889119</v>
      </c>
      <c r="N25" s="9">
        <f t="shared" si="5"/>
        <v>593343.05699976976</v>
      </c>
      <c r="O25" s="9">
        <f>MAX(0,N25*Параметры!$C$14)</f>
        <v>118668.61139995395</v>
      </c>
      <c r="P25" s="9">
        <f t="shared" si="6"/>
        <v>474674.44559981581</v>
      </c>
      <c r="Q25" s="9">
        <v>0</v>
      </c>
      <c r="R25" s="9">
        <v>0</v>
      </c>
      <c r="S25" s="9">
        <f>MAX(0,MIN(Параметры!$C$26-M25,T24))</f>
        <v>137813.74689733563</v>
      </c>
      <c r="T25" s="9">
        <f t="shared" si="7"/>
        <v>88218042.80423218</v>
      </c>
      <c r="U25" s="9">
        <f t="shared" si="8"/>
        <v>84061.365369146806</v>
      </c>
      <c r="V25" s="9">
        <f t="shared" si="1"/>
        <v>-41110771.577117413</v>
      </c>
    </row>
    <row r="26" spans="1:22" x14ac:dyDescent="0.25">
      <c r="A26" s="11">
        <v>25</v>
      </c>
      <c r="B26" s="11" t="s">
        <v>87</v>
      </c>
      <c r="C26" s="12" t="s">
        <v>73</v>
      </c>
      <c r="D26" s="13">
        <f>Параметры!$C$4*Параметры!$C$7*(1+Параметры!$C$8)^INT((A26-Параметры!$C$11-1)/12)</f>
        <v>3079296</v>
      </c>
      <c r="E26" s="13">
        <f>D26/(1+Параметры!$C$13)</f>
        <v>2566080</v>
      </c>
      <c r="F26" s="13">
        <f t="shared" si="2"/>
        <v>513216</v>
      </c>
      <c r="G26" s="13">
        <f>IF(AND(A26&gt;Параметры!$C$11,A26&lt;=Параметры!$C$11+3),Параметры!$C$28,0)</f>
        <v>0</v>
      </c>
      <c r="H26" s="13">
        <f t="shared" si="3"/>
        <v>513216</v>
      </c>
      <c r="I26" s="13">
        <f>E26*Параметры!$C$16</f>
        <v>384912</v>
      </c>
      <c r="J26" s="13">
        <f>Параметры!$C$27</f>
        <v>260416.66666666666</v>
      </c>
      <c r="K26" s="13">
        <f>MAX(0,Параметры!$C$20-Параметры!$C$27*MAX(0,A26-Параметры!$C$11-1))*Параметры!$C$15/12</f>
        <v>222482.63888888888</v>
      </c>
      <c r="L26" s="13">
        <f t="shared" si="4"/>
        <v>1698268.6944444445</v>
      </c>
      <c r="M26" s="13">
        <f>T25*Параметры!$C$10/12</f>
        <v>1102725.5350529023</v>
      </c>
      <c r="N26" s="13">
        <f t="shared" si="5"/>
        <v>595543.1593915422</v>
      </c>
      <c r="O26" s="13">
        <f>MAX(0,N26*Параметры!$C$14)</f>
        <v>119108.63187830844</v>
      </c>
      <c r="P26" s="13">
        <f t="shared" si="6"/>
        <v>476434.52751323377</v>
      </c>
      <c r="Q26" s="13">
        <v>0</v>
      </c>
      <c r="R26" s="13">
        <v>0</v>
      </c>
      <c r="S26" s="13">
        <f>MAX(0,MIN(Параметры!$C$26-M26,T25))</f>
        <v>139536.41873355233</v>
      </c>
      <c r="T26" s="13">
        <f t="shared" si="7"/>
        <v>88078506.385498628</v>
      </c>
      <c r="U26" s="13">
        <f t="shared" si="8"/>
        <v>84098.775446348125</v>
      </c>
      <c r="V26" s="13">
        <f t="shared" si="1"/>
        <v>-41026672.801671065</v>
      </c>
    </row>
    <row r="27" spans="1:22" x14ac:dyDescent="0.25">
      <c r="A27" s="14">
        <v>26</v>
      </c>
      <c r="B27" s="14" t="s">
        <v>88</v>
      </c>
      <c r="C27" s="15" t="s">
        <v>73</v>
      </c>
      <c r="D27" s="9">
        <f>Параметры!$C$4*Параметры!$C$7*(1+Параметры!$C$8)^INT((A27-Параметры!$C$11-1)/12)</f>
        <v>3079296</v>
      </c>
      <c r="E27" s="9">
        <f>D27/(1+Параметры!$C$13)</f>
        <v>2566080</v>
      </c>
      <c r="F27" s="9">
        <f t="shared" si="2"/>
        <v>513216</v>
      </c>
      <c r="G27" s="9">
        <f>IF(AND(A27&gt;Параметры!$C$11,A27&lt;=Параметры!$C$11+3),Параметры!$C$28,0)</f>
        <v>0</v>
      </c>
      <c r="H27" s="9">
        <f t="shared" si="3"/>
        <v>513216</v>
      </c>
      <c r="I27" s="9">
        <f>E27*Параметры!$C$16</f>
        <v>384912</v>
      </c>
      <c r="J27" s="9">
        <f>Параметры!$C$27</f>
        <v>260416.66666666666</v>
      </c>
      <c r="K27" s="9">
        <f>MAX(0,Параметры!$C$20-Параметры!$C$27*MAX(0,A27-Параметры!$C$11-1))*Параметры!$C$15/12</f>
        <v>222005.20833333334</v>
      </c>
      <c r="L27" s="9">
        <f t="shared" si="4"/>
        <v>1698746.125</v>
      </c>
      <c r="M27" s="9">
        <f>T26*Параметры!$C$10/12</f>
        <v>1100981.3298187328</v>
      </c>
      <c r="N27" s="9">
        <f t="shared" si="5"/>
        <v>597764.7951812672</v>
      </c>
      <c r="O27" s="9">
        <f>MAX(0,N27*Параметры!$C$14)</f>
        <v>119552.95903625345</v>
      </c>
      <c r="P27" s="9">
        <f t="shared" si="6"/>
        <v>478211.83614501375</v>
      </c>
      <c r="Q27" s="9">
        <v>0</v>
      </c>
      <c r="R27" s="9">
        <v>0</v>
      </c>
      <c r="S27" s="9">
        <f>MAX(0,MIN(Параметры!$C$26-M27,T26))</f>
        <v>141280.62396772183</v>
      </c>
      <c r="T27" s="9">
        <f t="shared" si="7"/>
        <v>87937225.761530906</v>
      </c>
      <c r="U27" s="9">
        <f t="shared" si="8"/>
        <v>84131.878843958606</v>
      </c>
      <c r="V27" s="9">
        <f t="shared" si="1"/>
        <v>-40942540.92282711</v>
      </c>
    </row>
    <row r="28" spans="1:22" x14ac:dyDescent="0.25">
      <c r="A28" s="11">
        <v>27</v>
      </c>
      <c r="B28" s="11" t="s">
        <v>89</v>
      </c>
      <c r="C28" s="12" t="s">
        <v>73</v>
      </c>
      <c r="D28" s="13">
        <f>Параметры!$C$4*Параметры!$C$7*(1+Параметры!$C$8)^INT((A28-Параметры!$C$11-1)/12)</f>
        <v>3079296</v>
      </c>
      <c r="E28" s="13">
        <f>D28/(1+Параметры!$C$13)</f>
        <v>2566080</v>
      </c>
      <c r="F28" s="13">
        <f t="shared" si="2"/>
        <v>513216</v>
      </c>
      <c r="G28" s="13">
        <f>IF(AND(A28&gt;Параметры!$C$11,A28&lt;=Параметры!$C$11+3),Параметры!$C$28,0)</f>
        <v>0</v>
      </c>
      <c r="H28" s="13">
        <f t="shared" si="3"/>
        <v>513216</v>
      </c>
      <c r="I28" s="13">
        <f>E28*Параметры!$C$16</f>
        <v>384912</v>
      </c>
      <c r="J28" s="13">
        <f>Параметры!$C$27</f>
        <v>260416.66666666666</v>
      </c>
      <c r="K28" s="13">
        <f>MAX(0,Параметры!$C$20-Параметры!$C$27*MAX(0,A28-Параметры!$C$11-1))*Параметры!$C$15/12</f>
        <v>221527.77777777775</v>
      </c>
      <c r="L28" s="13">
        <f t="shared" si="4"/>
        <v>1699223.5555555555</v>
      </c>
      <c r="M28" s="13">
        <f>T27*Параметры!$C$10/12</f>
        <v>1099215.3220191363</v>
      </c>
      <c r="N28" s="13">
        <f t="shared" si="5"/>
        <v>600008.23353641923</v>
      </c>
      <c r="O28" s="13">
        <f>MAX(0,N28*Параметры!$C$14)</f>
        <v>120001.64670728386</v>
      </c>
      <c r="P28" s="13">
        <f t="shared" si="6"/>
        <v>480006.58682913537</v>
      </c>
      <c r="Q28" s="13">
        <v>0</v>
      </c>
      <c r="R28" s="13">
        <v>0</v>
      </c>
      <c r="S28" s="13">
        <f>MAX(0,MIN(Параметры!$C$26-M28,T27))</f>
        <v>143046.63176731835</v>
      </c>
      <c r="T28" s="13">
        <f t="shared" si="7"/>
        <v>87794179.129763588</v>
      </c>
      <c r="U28" s="13">
        <f t="shared" si="8"/>
        <v>84160.621728483704</v>
      </c>
      <c r="V28" s="13">
        <f t="shared" si="1"/>
        <v>-40858380.301098622</v>
      </c>
    </row>
    <row r="29" spans="1:22" x14ac:dyDescent="0.25">
      <c r="A29" s="14">
        <v>28</v>
      </c>
      <c r="B29" s="14" t="s">
        <v>90</v>
      </c>
      <c r="C29" s="15" t="s">
        <v>73</v>
      </c>
      <c r="D29" s="9">
        <f>Параметры!$C$4*Параметры!$C$7*(1+Параметры!$C$8)^INT((A29-Параметры!$C$11-1)/12)</f>
        <v>3079296</v>
      </c>
      <c r="E29" s="9">
        <f>D29/(1+Параметры!$C$13)</f>
        <v>2566080</v>
      </c>
      <c r="F29" s="9">
        <f t="shared" si="2"/>
        <v>513216</v>
      </c>
      <c r="G29" s="9">
        <f>IF(AND(A29&gt;Параметры!$C$11,A29&lt;=Параметры!$C$11+3),Параметры!$C$28,0)</f>
        <v>0</v>
      </c>
      <c r="H29" s="9">
        <f t="shared" si="3"/>
        <v>513216</v>
      </c>
      <c r="I29" s="9">
        <f>E29*Параметры!$C$16</f>
        <v>384912</v>
      </c>
      <c r="J29" s="9">
        <f>Параметры!$C$27</f>
        <v>260416.66666666666</v>
      </c>
      <c r="K29" s="9">
        <f>MAX(0,Параметры!$C$20-Параметры!$C$27*MAX(0,A29-Параметры!$C$11-1))*Параметры!$C$15/12</f>
        <v>221050.34722222222</v>
      </c>
      <c r="L29" s="9">
        <f t="shared" si="4"/>
        <v>1699700.986111111</v>
      </c>
      <c r="M29" s="9">
        <f>T28*Параметры!$C$10/12</f>
        <v>1097427.2391220448</v>
      </c>
      <c r="N29" s="9">
        <f t="shared" si="5"/>
        <v>602273.74698906625</v>
      </c>
      <c r="O29" s="9">
        <f>MAX(0,N29*Параметры!$C$14)</f>
        <v>120454.74939781326</v>
      </c>
      <c r="P29" s="9">
        <f t="shared" si="6"/>
        <v>481818.99759125302</v>
      </c>
      <c r="Q29" s="9">
        <v>0</v>
      </c>
      <c r="R29" s="9">
        <v>0</v>
      </c>
      <c r="S29" s="9">
        <f>MAX(0,MIN(Параметры!$C$26-M29,T28))</f>
        <v>144834.71466440987</v>
      </c>
      <c r="T29" s="9">
        <f t="shared" si="7"/>
        <v>87649344.415099174</v>
      </c>
      <c r="U29" s="9">
        <f t="shared" si="8"/>
        <v>84184.94959350978</v>
      </c>
      <c r="V29" s="9">
        <f t="shared" si="1"/>
        <v>-40774195.351505116</v>
      </c>
    </row>
    <row r="30" spans="1:22" x14ac:dyDescent="0.25">
      <c r="A30" s="11">
        <v>29</v>
      </c>
      <c r="B30" s="11" t="s">
        <v>91</v>
      </c>
      <c r="C30" s="12" t="s">
        <v>73</v>
      </c>
      <c r="D30" s="13">
        <f>Параметры!$C$4*Параметры!$C$7*(1+Параметры!$C$8)^INT((A30-Параметры!$C$11-1)/12)</f>
        <v>3079296</v>
      </c>
      <c r="E30" s="13">
        <f>D30/(1+Параметры!$C$13)</f>
        <v>2566080</v>
      </c>
      <c r="F30" s="13">
        <f t="shared" si="2"/>
        <v>513216</v>
      </c>
      <c r="G30" s="13">
        <f>IF(AND(A30&gt;Параметры!$C$11,A30&lt;=Параметры!$C$11+3),Параметры!$C$28,0)</f>
        <v>0</v>
      </c>
      <c r="H30" s="13">
        <f t="shared" si="3"/>
        <v>513216</v>
      </c>
      <c r="I30" s="13">
        <f>E30*Параметры!$C$16</f>
        <v>384912</v>
      </c>
      <c r="J30" s="13">
        <f>Параметры!$C$27</f>
        <v>260416.66666666666</v>
      </c>
      <c r="K30" s="13">
        <f>MAX(0,Параметры!$C$20-Параметры!$C$27*MAX(0,A30-Параметры!$C$11-1))*Параметры!$C$15/12</f>
        <v>220572.91666666666</v>
      </c>
      <c r="L30" s="13">
        <f t="shared" si="4"/>
        <v>1700178.4166666665</v>
      </c>
      <c r="M30" s="13">
        <f>T29*Параметры!$C$10/12</f>
        <v>1095616.8051887397</v>
      </c>
      <c r="N30" s="13">
        <f t="shared" si="5"/>
        <v>604561.61147792684</v>
      </c>
      <c r="O30" s="13">
        <f>MAX(0,N30*Параметры!$C$14)</f>
        <v>120912.32229558537</v>
      </c>
      <c r="P30" s="13">
        <f t="shared" si="6"/>
        <v>483649.28918234148</v>
      </c>
      <c r="Q30" s="13">
        <v>0</v>
      </c>
      <c r="R30" s="13">
        <v>0</v>
      </c>
      <c r="S30" s="13">
        <f>MAX(0,MIN(Параметры!$C$26-M30,T29))</f>
        <v>146645.14859771496</v>
      </c>
      <c r="T30" s="13">
        <f t="shared" si="7"/>
        <v>87502699.266501456</v>
      </c>
      <c r="U30" s="13">
        <f t="shared" si="8"/>
        <v>84204.807251293212</v>
      </c>
      <c r="V30" s="13">
        <f t="shared" si="1"/>
        <v>-40689990.544253826</v>
      </c>
    </row>
    <row r="31" spans="1:22" x14ac:dyDescent="0.25">
      <c r="A31" s="14">
        <v>30</v>
      </c>
      <c r="B31" s="14" t="s">
        <v>92</v>
      </c>
      <c r="C31" s="15" t="s">
        <v>73</v>
      </c>
      <c r="D31" s="9">
        <f>Параметры!$C$4*Параметры!$C$7*(1+Параметры!$C$8)^INT((A31-Параметры!$C$11-1)/12)</f>
        <v>3079296</v>
      </c>
      <c r="E31" s="9">
        <f>D31/(1+Параметры!$C$13)</f>
        <v>2566080</v>
      </c>
      <c r="F31" s="9">
        <f t="shared" si="2"/>
        <v>513216</v>
      </c>
      <c r="G31" s="9">
        <f>IF(AND(A31&gt;Параметры!$C$11,A31&lt;=Параметры!$C$11+3),Параметры!$C$28,0)</f>
        <v>0</v>
      </c>
      <c r="H31" s="9">
        <f t="shared" si="3"/>
        <v>513216</v>
      </c>
      <c r="I31" s="9">
        <f>E31*Параметры!$C$16</f>
        <v>384912</v>
      </c>
      <c r="J31" s="9">
        <f>Параметры!$C$27</f>
        <v>260416.66666666666</v>
      </c>
      <c r="K31" s="9">
        <f>MAX(0,Параметры!$C$20-Параметры!$C$27*MAX(0,A31-Параметры!$C$11-1))*Параметры!$C$15/12</f>
        <v>220095.48611111109</v>
      </c>
      <c r="L31" s="9">
        <f t="shared" si="4"/>
        <v>1700655.8472222222</v>
      </c>
      <c r="M31" s="9">
        <f>T30*Параметры!$C$10/12</f>
        <v>1093783.7408312683</v>
      </c>
      <c r="N31" s="9">
        <f t="shared" si="5"/>
        <v>606872.106390954</v>
      </c>
      <c r="O31" s="9">
        <f>MAX(0,N31*Параметры!$C$14)</f>
        <v>121374.4212781908</v>
      </c>
      <c r="P31" s="9">
        <f t="shared" si="6"/>
        <v>485497.6851127632</v>
      </c>
      <c r="Q31" s="9">
        <v>0</v>
      </c>
      <c r="R31" s="9">
        <v>0</v>
      </c>
      <c r="S31" s="9">
        <f>MAX(0,MIN(Параметры!$C$26-M31,T30))</f>
        <v>148478.21295518638</v>
      </c>
      <c r="T31" s="9">
        <f t="shared" si="7"/>
        <v>87354221.053546265</v>
      </c>
      <c r="U31" s="9">
        <f t="shared" si="8"/>
        <v>84220.138824243448</v>
      </c>
      <c r="V31" s="9">
        <f t="shared" si="1"/>
        <v>-40605770.405429579</v>
      </c>
    </row>
    <row r="32" spans="1:22" x14ac:dyDescent="0.25">
      <c r="A32" s="11">
        <v>31</v>
      </c>
      <c r="B32" s="11" t="s">
        <v>93</v>
      </c>
      <c r="C32" s="12" t="s">
        <v>73</v>
      </c>
      <c r="D32" s="13">
        <f>Параметры!$C$4*Параметры!$C$7*(1+Параметры!$C$8)^INT((A32-Параметры!$C$11-1)/12)</f>
        <v>3079296</v>
      </c>
      <c r="E32" s="13">
        <f>D32/(1+Параметры!$C$13)</f>
        <v>2566080</v>
      </c>
      <c r="F32" s="13">
        <f t="shared" si="2"/>
        <v>513216</v>
      </c>
      <c r="G32" s="13">
        <f>IF(AND(A32&gt;Параметры!$C$11,A32&lt;=Параметры!$C$11+3),Параметры!$C$28,0)</f>
        <v>0</v>
      </c>
      <c r="H32" s="13">
        <f t="shared" si="3"/>
        <v>513216</v>
      </c>
      <c r="I32" s="13">
        <f>E32*Параметры!$C$16</f>
        <v>384912</v>
      </c>
      <c r="J32" s="13">
        <f>Параметры!$C$27</f>
        <v>260416.66666666666</v>
      </c>
      <c r="K32" s="13">
        <f>MAX(0,Параметры!$C$20-Параметры!$C$27*MAX(0,A32-Параметры!$C$11-1))*Параметры!$C$15/12</f>
        <v>219618.05555555553</v>
      </c>
      <c r="L32" s="13">
        <f t="shared" si="4"/>
        <v>1701133.2777777778</v>
      </c>
      <c r="M32" s="13">
        <f>T31*Параметры!$C$10/12</f>
        <v>1091927.7631693282</v>
      </c>
      <c r="N32" s="13">
        <f t="shared" si="5"/>
        <v>609205.51460844954</v>
      </c>
      <c r="O32" s="13">
        <f>MAX(0,N32*Параметры!$C$14)</f>
        <v>121841.10292168992</v>
      </c>
      <c r="P32" s="13">
        <f t="shared" si="6"/>
        <v>487364.41168675962</v>
      </c>
      <c r="Q32" s="13">
        <v>0</v>
      </c>
      <c r="R32" s="13">
        <v>0</v>
      </c>
      <c r="S32" s="13">
        <f>MAX(0,MIN(Параметры!$C$26-M32,T31))</f>
        <v>150334.19061712641</v>
      </c>
      <c r="T32" s="13">
        <f t="shared" si="7"/>
        <v>87203886.862929136</v>
      </c>
      <c r="U32" s="13">
        <f t="shared" si="8"/>
        <v>84230.88773629989</v>
      </c>
      <c r="V32" s="13">
        <f t="shared" si="1"/>
        <v>-40521539.517693281</v>
      </c>
    </row>
    <row r="33" spans="1:22" x14ac:dyDescent="0.25">
      <c r="A33" s="14">
        <v>32</v>
      </c>
      <c r="B33" s="14" t="s">
        <v>94</v>
      </c>
      <c r="C33" s="15" t="s">
        <v>73</v>
      </c>
      <c r="D33" s="9">
        <f>Параметры!$C$4*Параметры!$C$7*(1+Параметры!$C$8)^INT((A33-Параметры!$C$11-1)/12)</f>
        <v>3079296</v>
      </c>
      <c r="E33" s="9">
        <f>D33/(1+Параметры!$C$13)</f>
        <v>2566080</v>
      </c>
      <c r="F33" s="9">
        <f t="shared" si="2"/>
        <v>513216</v>
      </c>
      <c r="G33" s="9">
        <f>IF(AND(A33&gt;Параметры!$C$11,A33&lt;=Параметры!$C$11+3),Параметры!$C$28,0)</f>
        <v>0</v>
      </c>
      <c r="H33" s="9">
        <f t="shared" si="3"/>
        <v>513216</v>
      </c>
      <c r="I33" s="9">
        <f>E33*Параметры!$C$16</f>
        <v>384912</v>
      </c>
      <c r="J33" s="9">
        <f>Параметры!$C$27</f>
        <v>260416.66666666666</v>
      </c>
      <c r="K33" s="9">
        <f>MAX(0,Параметры!$C$20-Параметры!$C$27*MAX(0,A33-Параметры!$C$11-1))*Параметры!$C$15/12</f>
        <v>219140.625</v>
      </c>
      <c r="L33" s="9">
        <f t="shared" si="4"/>
        <v>1701610.7083333333</v>
      </c>
      <c r="M33" s="9">
        <f>T32*Параметры!$C$10/12</f>
        <v>1090048.5857866141</v>
      </c>
      <c r="N33" s="9">
        <f t="shared" si="5"/>
        <v>611562.12254671915</v>
      </c>
      <c r="O33" s="9">
        <f>MAX(0,N33*Параметры!$C$14)</f>
        <v>122312.42450934384</v>
      </c>
      <c r="P33" s="9">
        <f t="shared" si="6"/>
        <v>489249.69803737535</v>
      </c>
      <c r="Q33" s="9">
        <v>0</v>
      </c>
      <c r="R33" s="9">
        <v>0</v>
      </c>
      <c r="S33" s="9">
        <f>MAX(0,MIN(Параметры!$C$26-M33,T32))</f>
        <v>152213.36799984053</v>
      </c>
      <c r="T33" s="9">
        <f t="shared" si="7"/>
        <v>87051673.494929299</v>
      </c>
      <c r="U33" s="9">
        <f t="shared" si="8"/>
        <v>84236.996704201447</v>
      </c>
      <c r="V33" s="9">
        <f t="shared" si="1"/>
        <v>-40437302.520989083</v>
      </c>
    </row>
    <row r="34" spans="1:22" x14ac:dyDescent="0.25">
      <c r="A34" s="11">
        <v>33</v>
      </c>
      <c r="B34" s="11" t="s">
        <v>95</v>
      </c>
      <c r="C34" s="12" t="s">
        <v>73</v>
      </c>
      <c r="D34" s="13">
        <f>Параметры!$C$4*Параметры!$C$7*(1+Параметры!$C$8)^INT((A34-Параметры!$C$11-1)/12)</f>
        <v>3079296</v>
      </c>
      <c r="E34" s="13">
        <f>D34/(1+Параметры!$C$13)</f>
        <v>2566080</v>
      </c>
      <c r="F34" s="13">
        <f t="shared" si="2"/>
        <v>513216</v>
      </c>
      <c r="G34" s="13">
        <f>IF(AND(A34&gt;Параметры!$C$11,A34&lt;=Параметры!$C$11+3),Параметры!$C$28,0)</f>
        <v>0</v>
      </c>
      <c r="H34" s="13">
        <f t="shared" si="3"/>
        <v>513216</v>
      </c>
      <c r="I34" s="13">
        <f>E34*Параметры!$C$16</f>
        <v>384912</v>
      </c>
      <c r="J34" s="13">
        <f>Параметры!$C$27</f>
        <v>260416.66666666666</v>
      </c>
      <c r="K34" s="13">
        <f>MAX(0,Параметры!$C$20-Параметры!$C$27*MAX(0,A34-Параметры!$C$11-1))*Параметры!$C$15/12</f>
        <v>218663.19444444441</v>
      </c>
      <c r="L34" s="13">
        <f t="shared" si="4"/>
        <v>1702088.1388888888</v>
      </c>
      <c r="M34" s="13">
        <f>T33*Параметры!$C$10/12</f>
        <v>1088145.9186866162</v>
      </c>
      <c r="N34" s="13">
        <f t="shared" si="5"/>
        <v>613942.22020227253</v>
      </c>
      <c r="O34" s="13">
        <f>MAX(0,N34*Параметры!$C$14)</f>
        <v>122788.44404045452</v>
      </c>
      <c r="P34" s="13">
        <f t="shared" si="6"/>
        <v>491153.77616181801</v>
      </c>
      <c r="Q34" s="13">
        <v>0</v>
      </c>
      <c r="R34" s="13">
        <v>0</v>
      </c>
      <c r="S34" s="13">
        <f>MAX(0,MIN(Параметры!$C$26-M34,T33))</f>
        <v>154116.03509983839</v>
      </c>
      <c r="T34" s="13">
        <f t="shared" si="7"/>
        <v>86897557.459829465</v>
      </c>
      <c r="U34" s="13">
        <f t="shared" si="8"/>
        <v>84238.4077286463</v>
      </c>
      <c r="V34" s="13">
        <f t="shared" si="1"/>
        <v>-40353064.113260433</v>
      </c>
    </row>
    <row r="35" spans="1:22" x14ac:dyDescent="0.25">
      <c r="A35" s="14">
        <v>34</v>
      </c>
      <c r="B35" s="14" t="s">
        <v>96</v>
      </c>
      <c r="C35" s="15" t="s">
        <v>73</v>
      </c>
      <c r="D35" s="9">
        <f>Параметры!$C$4*Параметры!$C$7*(1+Параметры!$C$8)^INT((A35-Параметры!$C$11-1)/12)</f>
        <v>3079296</v>
      </c>
      <c r="E35" s="9">
        <f>D35/(1+Параметры!$C$13)</f>
        <v>2566080</v>
      </c>
      <c r="F35" s="9">
        <f t="shared" si="2"/>
        <v>513216</v>
      </c>
      <c r="G35" s="9">
        <f>IF(AND(A35&gt;Параметры!$C$11,A35&lt;=Параметры!$C$11+3),Параметры!$C$28,0)</f>
        <v>0</v>
      </c>
      <c r="H35" s="9">
        <f t="shared" si="3"/>
        <v>513216</v>
      </c>
      <c r="I35" s="9">
        <f>E35*Параметры!$C$16</f>
        <v>384912</v>
      </c>
      <c r="J35" s="9">
        <f>Параметры!$C$27</f>
        <v>260416.66666666666</v>
      </c>
      <c r="K35" s="9">
        <f>MAX(0,Параметры!$C$20-Параметры!$C$27*MAX(0,A35-Параметры!$C$11-1))*Параметры!$C$15/12</f>
        <v>218185.76388888888</v>
      </c>
      <c r="L35" s="9">
        <f t="shared" si="4"/>
        <v>1702565.5694444445</v>
      </c>
      <c r="M35" s="9">
        <f>T34*Параметры!$C$10/12</f>
        <v>1086219.4682478684</v>
      </c>
      <c r="N35" s="9">
        <f t="shared" si="5"/>
        <v>616346.10119657614</v>
      </c>
      <c r="O35" s="9">
        <f>MAX(0,N35*Параметры!$C$14)</f>
        <v>123269.22023931524</v>
      </c>
      <c r="P35" s="9">
        <f t="shared" si="6"/>
        <v>493076.8809572609</v>
      </c>
      <c r="Q35" s="9">
        <v>0</v>
      </c>
      <c r="R35" s="9">
        <v>0</v>
      </c>
      <c r="S35" s="9">
        <f>MAX(0,MIN(Параметры!$C$26-M35,T34))</f>
        <v>156042.48553858628</v>
      </c>
      <c r="T35" s="9">
        <f t="shared" si="7"/>
        <v>86741514.974290878</v>
      </c>
      <c r="U35" s="9">
        <f t="shared" si="8"/>
        <v>84235.062085341313</v>
      </c>
      <c r="V35" s="9">
        <f t="shared" ref="V35:V66" si="9">V34+U35</f>
        <v>-40268829.051175095</v>
      </c>
    </row>
    <row r="36" spans="1:22" x14ac:dyDescent="0.25">
      <c r="A36" s="11">
        <v>35</v>
      </c>
      <c r="B36" s="11" t="s">
        <v>97</v>
      </c>
      <c r="C36" s="12" t="s">
        <v>73</v>
      </c>
      <c r="D36" s="13">
        <f>Параметры!$C$4*Параметры!$C$7*(1+Параметры!$C$8)^INT((A36-Параметры!$C$11-1)/12)</f>
        <v>3325639.68</v>
      </c>
      <c r="E36" s="13">
        <f>D36/(1+Параметры!$C$13)</f>
        <v>2771366.4000000004</v>
      </c>
      <c r="F36" s="13">
        <f t="shared" si="2"/>
        <v>554273.2799999998</v>
      </c>
      <c r="G36" s="13">
        <f>IF(AND(A36&gt;Параметры!$C$11,A36&lt;=Параметры!$C$11+3),Параметры!$C$28,0)</f>
        <v>0</v>
      </c>
      <c r="H36" s="13">
        <f t="shared" si="3"/>
        <v>554273.2799999998</v>
      </c>
      <c r="I36" s="13">
        <f>E36*Параметры!$C$16</f>
        <v>415704.96</v>
      </c>
      <c r="J36" s="13">
        <f>Параметры!$C$27</f>
        <v>260416.66666666666</v>
      </c>
      <c r="K36" s="13">
        <f>MAX(0,Параметры!$C$20-Параметры!$C$27*MAX(0,A36-Параметры!$C$11-1))*Параметры!$C$15/12</f>
        <v>217708.33333333334</v>
      </c>
      <c r="L36" s="13">
        <f t="shared" si="4"/>
        <v>1877536.4400000004</v>
      </c>
      <c r="M36" s="13">
        <f>T35*Параметры!$C$10/12</f>
        <v>1084268.937178636</v>
      </c>
      <c r="N36" s="13">
        <f t="shared" si="5"/>
        <v>793267.50282136444</v>
      </c>
      <c r="O36" s="13">
        <f>MAX(0,N36*Параметры!$C$14)</f>
        <v>158653.50056427289</v>
      </c>
      <c r="P36" s="13">
        <f t="shared" si="6"/>
        <v>634614.00225709158</v>
      </c>
      <c r="Q36" s="13">
        <v>0</v>
      </c>
      <c r="R36" s="13">
        <v>0</v>
      </c>
      <c r="S36" s="13">
        <f>MAX(0,MIN(Параметры!$C$26-M36,T35))</f>
        <v>157993.01660781866</v>
      </c>
      <c r="T36" s="13">
        <f t="shared" si="7"/>
        <v>86583521.957683057</v>
      </c>
      <c r="U36" s="13">
        <f t="shared" si="8"/>
        <v>182764.37231593975</v>
      </c>
      <c r="V36" s="13">
        <f t="shared" si="9"/>
        <v>-40086064.678859152</v>
      </c>
    </row>
    <row r="37" spans="1:22" x14ac:dyDescent="0.25">
      <c r="A37" s="14">
        <v>36</v>
      </c>
      <c r="B37" s="14" t="s">
        <v>98</v>
      </c>
      <c r="C37" s="15" t="s">
        <v>73</v>
      </c>
      <c r="D37" s="9">
        <f>Параметры!$C$4*Параметры!$C$7*(1+Параметры!$C$8)^INT((A37-Параметры!$C$11-1)/12)</f>
        <v>3325639.68</v>
      </c>
      <c r="E37" s="9">
        <f>D37/(1+Параметры!$C$13)</f>
        <v>2771366.4000000004</v>
      </c>
      <c r="F37" s="9">
        <f t="shared" si="2"/>
        <v>554273.2799999998</v>
      </c>
      <c r="G37" s="9">
        <f>IF(AND(A37&gt;Параметры!$C$11,A37&lt;=Параметры!$C$11+3),Параметры!$C$28,0)</f>
        <v>0</v>
      </c>
      <c r="H37" s="9">
        <f t="shared" si="3"/>
        <v>554273.2799999998</v>
      </c>
      <c r="I37" s="9">
        <f>E37*Параметры!$C$16</f>
        <v>415704.96</v>
      </c>
      <c r="J37" s="9">
        <f>Параметры!$C$27</f>
        <v>260416.66666666666</v>
      </c>
      <c r="K37" s="9">
        <f>MAX(0,Параметры!$C$20-Параметры!$C$27*MAX(0,A37-Параметры!$C$11-1))*Параметры!$C$15/12</f>
        <v>217230.90277777775</v>
      </c>
      <c r="L37" s="9">
        <f t="shared" si="4"/>
        <v>1878013.8705555559</v>
      </c>
      <c r="M37" s="9">
        <f>T36*Параметры!$C$10/12</f>
        <v>1082294.0244710383</v>
      </c>
      <c r="N37" s="9">
        <f t="shared" si="5"/>
        <v>795719.84608451766</v>
      </c>
      <c r="O37" s="9">
        <f>MAX(0,N37*Параметры!$C$14)</f>
        <v>159143.96921690356</v>
      </c>
      <c r="P37" s="9">
        <f t="shared" si="6"/>
        <v>636575.8768676141</v>
      </c>
      <c r="Q37" s="9">
        <v>0</v>
      </c>
      <c r="R37" s="9">
        <v>0</v>
      </c>
      <c r="S37" s="9">
        <f>MAX(0,MIN(Параметры!$C$26-M37,T36))</f>
        <v>159967.92931541638</v>
      </c>
      <c r="T37" s="9">
        <f t="shared" si="7"/>
        <v>86423554.028367639</v>
      </c>
      <c r="U37" s="9">
        <f t="shared" si="8"/>
        <v>182751.33421886456</v>
      </c>
      <c r="V37" s="9">
        <f t="shared" si="9"/>
        <v>-39903313.344640285</v>
      </c>
    </row>
    <row r="38" spans="1:22" x14ac:dyDescent="0.25">
      <c r="A38" s="11">
        <v>37</v>
      </c>
      <c r="B38" s="11" t="s">
        <v>99</v>
      </c>
      <c r="C38" s="12" t="s">
        <v>73</v>
      </c>
      <c r="D38" s="13">
        <f>Параметры!$C$4*Параметры!$C$7*(1+Параметры!$C$8)^INT((A38-Параметры!$C$11-1)/12)</f>
        <v>3325639.68</v>
      </c>
      <c r="E38" s="13">
        <f>D38/(1+Параметры!$C$13)</f>
        <v>2771366.4000000004</v>
      </c>
      <c r="F38" s="13">
        <f t="shared" si="2"/>
        <v>554273.2799999998</v>
      </c>
      <c r="G38" s="13">
        <f>IF(AND(A38&gt;Параметры!$C$11,A38&lt;=Параметры!$C$11+3),Параметры!$C$28,0)</f>
        <v>0</v>
      </c>
      <c r="H38" s="13">
        <f t="shared" si="3"/>
        <v>554273.2799999998</v>
      </c>
      <c r="I38" s="13">
        <f>E38*Параметры!$C$16</f>
        <v>415704.96</v>
      </c>
      <c r="J38" s="13">
        <f>Параметры!$C$27</f>
        <v>260416.66666666666</v>
      </c>
      <c r="K38" s="13">
        <f>MAX(0,Параметры!$C$20-Параметры!$C$27*MAX(0,A38-Параметры!$C$11-1))*Параметры!$C$15/12</f>
        <v>216753.47222222222</v>
      </c>
      <c r="L38" s="13">
        <f t="shared" si="4"/>
        <v>1878491.3011111114</v>
      </c>
      <c r="M38" s="13">
        <f>T37*Параметры!$C$10/12</f>
        <v>1080294.4253545955</v>
      </c>
      <c r="N38" s="13">
        <f t="shared" si="5"/>
        <v>798196.87575651589</v>
      </c>
      <c r="O38" s="13">
        <f>MAX(0,N38*Параметры!$C$14)</f>
        <v>159639.37515130319</v>
      </c>
      <c r="P38" s="13">
        <f t="shared" si="6"/>
        <v>638557.50060521276</v>
      </c>
      <c r="Q38" s="13">
        <v>0</v>
      </c>
      <c r="R38" s="13">
        <v>0</v>
      </c>
      <c r="S38" s="13">
        <f>MAX(0,MIN(Параметры!$C$26-M38,T37))</f>
        <v>161967.5284318591</v>
      </c>
      <c r="T38" s="13">
        <f t="shared" si="7"/>
        <v>86261586.499935776</v>
      </c>
      <c r="U38" s="13">
        <f t="shared" si="8"/>
        <v>182733.35884002049</v>
      </c>
      <c r="V38" s="13">
        <f t="shared" si="9"/>
        <v>-39720579.985800266</v>
      </c>
    </row>
    <row r="39" spans="1:22" x14ac:dyDescent="0.25">
      <c r="A39" s="14">
        <v>38</v>
      </c>
      <c r="B39" s="14" t="s">
        <v>100</v>
      </c>
      <c r="C39" s="15" t="s">
        <v>73</v>
      </c>
      <c r="D39" s="9">
        <f>Параметры!$C$4*Параметры!$C$7*(1+Параметры!$C$8)^INT((A39-Параметры!$C$11-1)/12)</f>
        <v>3325639.68</v>
      </c>
      <c r="E39" s="9">
        <f>D39/(1+Параметры!$C$13)</f>
        <v>2771366.4000000004</v>
      </c>
      <c r="F39" s="9">
        <f t="shared" si="2"/>
        <v>554273.2799999998</v>
      </c>
      <c r="G39" s="9">
        <f>IF(AND(A39&gt;Параметры!$C$11,A39&lt;=Параметры!$C$11+3),Параметры!$C$28,0)</f>
        <v>0</v>
      </c>
      <c r="H39" s="9">
        <f t="shared" si="3"/>
        <v>554273.2799999998</v>
      </c>
      <c r="I39" s="9">
        <f>E39*Параметры!$C$16</f>
        <v>415704.96</v>
      </c>
      <c r="J39" s="9">
        <f>Параметры!$C$27</f>
        <v>260416.66666666666</v>
      </c>
      <c r="K39" s="9">
        <f>MAX(0,Параметры!$C$20-Параметры!$C$27*MAX(0,A39-Параметры!$C$11-1))*Параметры!$C$15/12</f>
        <v>216276.04166666666</v>
      </c>
      <c r="L39" s="9">
        <f t="shared" si="4"/>
        <v>1878968.7316666669</v>
      </c>
      <c r="M39" s="9">
        <f>T38*Параметры!$C$10/12</f>
        <v>1078269.8312491972</v>
      </c>
      <c r="N39" s="9">
        <f t="shared" si="5"/>
        <v>800698.90041746967</v>
      </c>
      <c r="O39" s="9">
        <f>MAX(0,N39*Параметры!$C$14)</f>
        <v>160139.78008349394</v>
      </c>
      <c r="P39" s="9">
        <f t="shared" si="6"/>
        <v>640559.12033397576</v>
      </c>
      <c r="Q39" s="9">
        <v>0</v>
      </c>
      <c r="R39" s="9">
        <v>0</v>
      </c>
      <c r="S39" s="9">
        <f>MAX(0,MIN(Параметры!$C$26-M39,T38))</f>
        <v>163992.12253725738</v>
      </c>
      <c r="T39" s="9">
        <f t="shared" si="7"/>
        <v>86097594.377398521</v>
      </c>
      <c r="U39" s="9">
        <f t="shared" si="8"/>
        <v>182710.38446338521</v>
      </c>
      <c r="V39" s="9">
        <f t="shared" si="9"/>
        <v>-39537869.601336882</v>
      </c>
    </row>
    <row r="40" spans="1:22" x14ac:dyDescent="0.25">
      <c r="A40" s="11">
        <v>39</v>
      </c>
      <c r="B40" s="11" t="s">
        <v>101</v>
      </c>
      <c r="C40" s="12" t="s">
        <v>73</v>
      </c>
      <c r="D40" s="13">
        <f>Параметры!$C$4*Параметры!$C$7*(1+Параметры!$C$8)^INT((A40-Параметры!$C$11-1)/12)</f>
        <v>3325639.68</v>
      </c>
      <c r="E40" s="13">
        <f>D40/(1+Параметры!$C$13)</f>
        <v>2771366.4000000004</v>
      </c>
      <c r="F40" s="13">
        <f t="shared" si="2"/>
        <v>554273.2799999998</v>
      </c>
      <c r="G40" s="13">
        <f>IF(AND(A40&gt;Параметры!$C$11,A40&lt;=Параметры!$C$11+3),Параметры!$C$28,0)</f>
        <v>0</v>
      </c>
      <c r="H40" s="13">
        <f t="shared" si="3"/>
        <v>554273.2799999998</v>
      </c>
      <c r="I40" s="13">
        <f>E40*Параметры!$C$16</f>
        <v>415704.96</v>
      </c>
      <c r="J40" s="13">
        <f>Параметры!$C$27</f>
        <v>260416.66666666666</v>
      </c>
      <c r="K40" s="13">
        <f>MAX(0,Параметры!$C$20-Параметры!$C$27*MAX(0,A40-Параметры!$C$11-1))*Параметры!$C$15/12</f>
        <v>215798.61111111109</v>
      </c>
      <c r="L40" s="13">
        <f t="shared" si="4"/>
        <v>1879446.1622222227</v>
      </c>
      <c r="M40" s="13">
        <f>T39*Параметры!$C$10/12</f>
        <v>1076219.9297174814</v>
      </c>
      <c r="N40" s="13">
        <f t="shared" si="5"/>
        <v>803226.23250474129</v>
      </c>
      <c r="O40" s="13">
        <f>MAX(0,N40*Параметры!$C$14)</f>
        <v>160645.24650094827</v>
      </c>
      <c r="P40" s="13">
        <f t="shared" si="6"/>
        <v>642580.98600379308</v>
      </c>
      <c r="Q40" s="13">
        <v>0</v>
      </c>
      <c r="R40" s="13">
        <v>0</v>
      </c>
      <c r="S40" s="13">
        <f>MAX(0,MIN(Параметры!$C$26-M40,T39))</f>
        <v>166042.02406897326</v>
      </c>
      <c r="T40" s="13">
        <f t="shared" si="7"/>
        <v>85931552.353329554</v>
      </c>
      <c r="U40" s="13">
        <f t="shared" si="8"/>
        <v>182682.34860148665</v>
      </c>
      <c r="V40" s="13">
        <f t="shared" si="9"/>
        <v>-39355187.252735391</v>
      </c>
    </row>
    <row r="41" spans="1:22" x14ac:dyDescent="0.25">
      <c r="A41" s="14">
        <v>40</v>
      </c>
      <c r="B41" s="14" t="s">
        <v>102</v>
      </c>
      <c r="C41" s="15" t="s">
        <v>73</v>
      </c>
      <c r="D41" s="9">
        <f>Параметры!$C$4*Параметры!$C$7*(1+Параметры!$C$8)^INT((A41-Параметры!$C$11-1)/12)</f>
        <v>3325639.68</v>
      </c>
      <c r="E41" s="9">
        <f>D41/(1+Параметры!$C$13)</f>
        <v>2771366.4000000004</v>
      </c>
      <c r="F41" s="9">
        <f t="shared" si="2"/>
        <v>554273.2799999998</v>
      </c>
      <c r="G41" s="9">
        <f>IF(AND(A41&gt;Параметры!$C$11,A41&lt;=Параметры!$C$11+3),Параметры!$C$28,0)</f>
        <v>0</v>
      </c>
      <c r="H41" s="9">
        <f t="shared" si="3"/>
        <v>554273.2799999998</v>
      </c>
      <c r="I41" s="9">
        <f>E41*Параметры!$C$16</f>
        <v>415704.96</v>
      </c>
      <c r="J41" s="9">
        <f>Параметры!$C$27</f>
        <v>260416.66666666666</v>
      </c>
      <c r="K41" s="9">
        <f>MAX(0,Параметры!$C$20-Параметры!$C$27*MAX(0,A41-Параметры!$C$11-1))*Параметры!$C$15/12</f>
        <v>215321.18055555553</v>
      </c>
      <c r="L41" s="9">
        <f t="shared" si="4"/>
        <v>1879923.5927777782</v>
      </c>
      <c r="M41" s="9">
        <f>T40*Параметры!$C$10/12</f>
        <v>1074144.4044166193</v>
      </c>
      <c r="N41" s="9">
        <f t="shared" si="5"/>
        <v>805779.18836115883</v>
      </c>
      <c r="O41" s="9">
        <f>MAX(0,N41*Параметры!$C$14)</f>
        <v>161155.83767223178</v>
      </c>
      <c r="P41" s="9">
        <f t="shared" si="6"/>
        <v>644623.35068892711</v>
      </c>
      <c r="Q41" s="9">
        <v>0</v>
      </c>
      <c r="R41" s="9">
        <v>0</v>
      </c>
      <c r="S41" s="9">
        <f>MAX(0,MIN(Параметры!$C$26-M41,T40))</f>
        <v>168117.54936983529</v>
      </c>
      <c r="T41" s="9">
        <f t="shared" si="7"/>
        <v>85763434.803959712</v>
      </c>
      <c r="U41" s="9">
        <f t="shared" si="8"/>
        <v>182649.18798575865</v>
      </c>
      <c r="V41" s="9">
        <f t="shared" si="9"/>
        <v>-39172538.064749636</v>
      </c>
    </row>
    <row r="42" spans="1:22" x14ac:dyDescent="0.25">
      <c r="A42" s="11">
        <v>41</v>
      </c>
      <c r="B42" s="11" t="s">
        <v>103</v>
      </c>
      <c r="C42" s="12" t="s">
        <v>73</v>
      </c>
      <c r="D42" s="13">
        <f>Параметры!$C$4*Параметры!$C$7*(1+Параметры!$C$8)^INT((A42-Параметры!$C$11-1)/12)</f>
        <v>3325639.68</v>
      </c>
      <c r="E42" s="13">
        <f>D42/(1+Параметры!$C$13)</f>
        <v>2771366.4000000004</v>
      </c>
      <c r="F42" s="13">
        <f t="shared" si="2"/>
        <v>554273.2799999998</v>
      </c>
      <c r="G42" s="13">
        <f>IF(AND(A42&gt;Параметры!$C$11,A42&lt;=Параметры!$C$11+3),Параметры!$C$28,0)</f>
        <v>0</v>
      </c>
      <c r="H42" s="13">
        <f t="shared" si="3"/>
        <v>554273.2799999998</v>
      </c>
      <c r="I42" s="13">
        <f>E42*Параметры!$C$16</f>
        <v>415704.96</v>
      </c>
      <c r="J42" s="13">
        <f>Параметры!$C$27</f>
        <v>260416.66666666666</v>
      </c>
      <c r="K42" s="13">
        <f>MAX(0,Параметры!$C$20-Параметры!$C$27*MAX(0,A42-Параметры!$C$11-1))*Параметры!$C$15/12</f>
        <v>214843.75</v>
      </c>
      <c r="L42" s="13">
        <f t="shared" si="4"/>
        <v>1880401.0233333337</v>
      </c>
      <c r="M42" s="13">
        <f>T41*Параметры!$C$10/12</f>
        <v>1072042.9350494964</v>
      </c>
      <c r="N42" s="13">
        <f t="shared" si="5"/>
        <v>808358.08828383731</v>
      </c>
      <c r="O42" s="13">
        <f>MAX(0,N42*Параметры!$C$14)</f>
        <v>161671.61765676748</v>
      </c>
      <c r="P42" s="13">
        <f t="shared" si="6"/>
        <v>646686.47062706982</v>
      </c>
      <c r="Q42" s="13">
        <v>0</v>
      </c>
      <c r="R42" s="13">
        <v>0</v>
      </c>
      <c r="S42" s="13">
        <f>MAX(0,MIN(Параметры!$C$26-M42,T41))</f>
        <v>170219.01873695827</v>
      </c>
      <c r="T42" s="13">
        <f t="shared" si="7"/>
        <v>85593215.785222754</v>
      </c>
      <c r="U42" s="13">
        <f t="shared" si="8"/>
        <v>182610.83855677838</v>
      </c>
      <c r="V42" s="13">
        <f t="shared" si="9"/>
        <v>-38989927.226192854</v>
      </c>
    </row>
    <row r="43" spans="1:22" x14ac:dyDescent="0.25">
      <c r="A43" s="14">
        <v>42</v>
      </c>
      <c r="B43" s="14" t="s">
        <v>104</v>
      </c>
      <c r="C43" s="15" t="s">
        <v>73</v>
      </c>
      <c r="D43" s="9">
        <f>Параметры!$C$4*Параметры!$C$7*(1+Параметры!$C$8)^INT((A43-Параметры!$C$11-1)/12)</f>
        <v>3325639.68</v>
      </c>
      <c r="E43" s="9">
        <f>D43/(1+Параметры!$C$13)</f>
        <v>2771366.4000000004</v>
      </c>
      <c r="F43" s="9">
        <f t="shared" si="2"/>
        <v>554273.2799999998</v>
      </c>
      <c r="G43" s="9">
        <f>IF(AND(A43&gt;Параметры!$C$11,A43&lt;=Параметры!$C$11+3),Параметры!$C$28,0)</f>
        <v>0</v>
      </c>
      <c r="H43" s="9">
        <f t="shared" si="3"/>
        <v>554273.2799999998</v>
      </c>
      <c r="I43" s="9">
        <f>E43*Параметры!$C$16</f>
        <v>415704.96</v>
      </c>
      <c r="J43" s="9">
        <f>Параметры!$C$27</f>
        <v>260416.66666666666</v>
      </c>
      <c r="K43" s="9">
        <f>MAX(0,Параметры!$C$20-Параметры!$C$27*MAX(0,A43-Параметры!$C$11-1))*Параметры!$C$15/12</f>
        <v>214366.31944444441</v>
      </c>
      <c r="L43" s="9">
        <f t="shared" si="4"/>
        <v>1880878.4538888892</v>
      </c>
      <c r="M43" s="9">
        <f>T42*Параметры!$C$10/12</f>
        <v>1069915.1973152843</v>
      </c>
      <c r="N43" s="9">
        <f t="shared" si="5"/>
        <v>810963.25657360489</v>
      </c>
      <c r="O43" s="9">
        <f>MAX(0,N43*Параметры!$C$14)</f>
        <v>162192.65131472098</v>
      </c>
      <c r="P43" s="9">
        <f t="shared" si="6"/>
        <v>648770.60525888391</v>
      </c>
      <c r="Q43" s="9">
        <v>0</v>
      </c>
      <c r="R43" s="9">
        <v>0</v>
      </c>
      <c r="S43" s="9">
        <f>MAX(0,MIN(Параметры!$C$26-M43,T42))</f>
        <v>172346.75647117035</v>
      </c>
      <c r="T43" s="9">
        <f t="shared" si="7"/>
        <v>85420869.028751582</v>
      </c>
      <c r="U43" s="9">
        <f t="shared" si="8"/>
        <v>182567.2354543804</v>
      </c>
      <c r="V43" s="9">
        <f t="shared" si="9"/>
        <v>-38807359.990738474</v>
      </c>
    </row>
    <row r="44" spans="1:22" x14ac:dyDescent="0.25">
      <c r="A44" s="11">
        <v>43</v>
      </c>
      <c r="B44" s="11" t="s">
        <v>105</v>
      </c>
      <c r="C44" s="12" t="s">
        <v>73</v>
      </c>
      <c r="D44" s="13">
        <f>Параметры!$C$4*Параметры!$C$7*(1+Параметры!$C$8)^INT((A44-Параметры!$C$11-1)/12)</f>
        <v>3325639.68</v>
      </c>
      <c r="E44" s="13">
        <f>D44/(1+Параметры!$C$13)</f>
        <v>2771366.4000000004</v>
      </c>
      <c r="F44" s="13">
        <f t="shared" ref="F44:F75" si="10">D44-E44</f>
        <v>554273.2799999998</v>
      </c>
      <c r="G44" s="13">
        <f>IF(AND(A44&gt;Параметры!$C$11,A44&lt;=Параметры!$C$11+3),Параметры!$C$28,0)</f>
        <v>0</v>
      </c>
      <c r="H44" s="13">
        <f t="shared" ref="H44:H75" si="11">F44-G44</f>
        <v>554273.2799999998</v>
      </c>
      <c r="I44" s="13">
        <f>E44*Параметры!$C$16</f>
        <v>415704.96</v>
      </c>
      <c r="J44" s="13">
        <f>Параметры!$C$27</f>
        <v>260416.66666666666</v>
      </c>
      <c r="K44" s="13">
        <f>MAX(0,Параметры!$C$20-Параметры!$C$27*MAX(0,A44-Параметры!$C$11-1))*Параметры!$C$15/12</f>
        <v>213888.88888888888</v>
      </c>
      <c r="L44" s="13">
        <f t="shared" ref="L44:L75" si="12">E44-I44-J44-K44</f>
        <v>1881355.8844444449</v>
      </c>
      <c r="M44" s="13">
        <f>T43*Параметры!$C$10/12</f>
        <v>1067760.8628593946</v>
      </c>
      <c r="N44" s="13">
        <f t="shared" ref="N44:N75" si="13">L44-M44</f>
        <v>813595.02158505027</v>
      </c>
      <c r="O44" s="13">
        <f>MAX(0,N44*Параметры!$C$14)</f>
        <v>162719.00431701005</v>
      </c>
      <c r="P44" s="13">
        <f t="shared" ref="P44:P75" si="14">N44-O44</f>
        <v>650876.01726804022</v>
      </c>
      <c r="Q44" s="13">
        <v>0</v>
      </c>
      <c r="R44" s="13">
        <v>0</v>
      </c>
      <c r="S44" s="13">
        <f>MAX(0,MIN(Параметры!$C$26-M44,T43))</f>
        <v>174501.09092706</v>
      </c>
      <c r="T44" s="13">
        <f t="shared" ref="T44:T75" si="15">MAX(0,T43-S44)</f>
        <v>85246367.937824517</v>
      </c>
      <c r="U44" s="13">
        <f t="shared" ref="U44:U75" si="16">P44+J44-S44-H44</f>
        <v>182518.31300764706</v>
      </c>
      <c r="V44" s="13">
        <f t="shared" si="9"/>
        <v>-38624841.677730829</v>
      </c>
    </row>
    <row r="45" spans="1:22" x14ac:dyDescent="0.25">
      <c r="A45" s="14">
        <v>44</v>
      </c>
      <c r="B45" s="14" t="s">
        <v>106</v>
      </c>
      <c r="C45" s="15" t="s">
        <v>73</v>
      </c>
      <c r="D45" s="9">
        <f>Параметры!$C$4*Параметры!$C$7*(1+Параметры!$C$8)^INT((A45-Параметры!$C$11-1)/12)</f>
        <v>3325639.68</v>
      </c>
      <c r="E45" s="9">
        <f>D45/(1+Параметры!$C$13)</f>
        <v>2771366.4000000004</v>
      </c>
      <c r="F45" s="9">
        <f t="shared" si="10"/>
        <v>554273.2799999998</v>
      </c>
      <c r="G45" s="9">
        <f>IF(AND(A45&gt;Параметры!$C$11,A45&lt;=Параметры!$C$11+3),Параметры!$C$28,0)</f>
        <v>0</v>
      </c>
      <c r="H45" s="9">
        <f t="shared" si="11"/>
        <v>554273.2799999998</v>
      </c>
      <c r="I45" s="9">
        <f>E45*Параметры!$C$16</f>
        <v>415704.96</v>
      </c>
      <c r="J45" s="9">
        <f>Параметры!$C$27</f>
        <v>260416.66666666666</v>
      </c>
      <c r="K45" s="9">
        <f>MAX(0,Параметры!$C$20-Параметры!$C$27*MAX(0,A45-Параметры!$C$11-1))*Параметры!$C$15/12</f>
        <v>213411.45833333334</v>
      </c>
      <c r="L45" s="9">
        <f t="shared" si="12"/>
        <v>1881833.3150000004</v>
      </c>
      <c r="M45" s="9">
        <f>T44*Параметры!$C$10/12</f>
        <v>1065579.5992228065</v>
      </c>
      <c r="N45" s="9">
        <f t="shared" si="13"/>
        <v>816253.71577719389</v>
      </c>
      <c r="O45" s="9">
        <f>MAX(0,N45*Параметры!$C$14)</f>
        <v>163250.7431554388</v>
      </c>
      <c r="P45" s="9">
        <f t="shared" si="14"/>
        <v>653002.97262175509</v>
      </c>
      <c r="Q45" s="9">
        <v>0</v>
      </c>
      <c r="R45" s="9">
        <v>0</v>
      </c>
      <c r="S45" s="9">
        <f>MAX(0,MIN(Параметры!$C$26-M45,T44))</f>
        <v>176682.35456364811</v>
      </c>
      <c r="T45" s="9">
        <f t="shared" si="15"/>
        <v>85069685.583260864</v>
      </c>
      <c r="U45" s="9">
        <f t="shared" si="16"/>
        <v>182464.00472477381</v>
      </c>
      <c r="V45" s="9">
        <f t="shared" si="9"/>
        <v>-38442377.673006058</v>
      </c>
    </row>
    <row r="46" spans="1:22" x14ac:dyDescent="0.25">
      <c r="A46" s="11">
        <v>45</v>
      </c>
      <c r="B46" s="11" t="s">
        <v>107</v>
      </c>
      <c r="C46" s="12" t="s">
        <v>73</v>
      </c>
      <c r="D46" s="13">
        <f>Параметры!$C$4*Параметры!$C$7*(1+Параметры!$C$8)^INT((A46-Параметры!$C$11-1)/12)</f>
        <v>3325639.68</v>
      </c>
      <c r="E46" s="13">
        <f>D46/(1+Параметры!$C$13)</f>
        <v>2771366.4000000004</v>
      </c>
      <c r="F46" s="13">
        <f t="shared" si="10"/>
        <v>554273.2799999998</v>
      </c>
      <c r="G46" s="13">
        <f>IF(AND(A46&gt;Параметры!$C$11,A46&lt;=Параметры!$C$11+3),Параметры!$C$28,0)</f>
        <v>0</v>
      </c>
      <c r="H46" s="13">
        <f t="shared" si="11"/>
        <v>554273.2799999998</v>
      </c>
      <c r="I46" s="13">
        <f>E46*Параметры!$C$16</f>
        <v>415704.96</v>
      </c>
      <c r="J46" s="13">
        <f>Параметры!$C$27</f>
        <v>260416.66666666666</v>
      </c>
      <c r="K46" s="13">
        <f>MAX(0,Параметры!$C$20-Параметры!$C$27*MAX(0,A46-Параметры!$C$11-1))*Параметры!$C$15/12</f>
        <v>212934.02777777775</v>
      </c>
      <c r="L46" s="13">
        <f t="shared" si="12"/>
        <v>1882310.7455555559</v>
      </c>
      <c r="M46" s="13">
        <f>T45*Параметры!$C$10/12</f>
        <v>1063371.0697907608</v>
      </c>
      <c r="N46" s="13">
        <f t="shared" si="13"/>
        <v>818939.67576479516</v>
      </c>
      <c r="O46" s="13">
        <f>MAX(0,N46*Параметры!$C$14)</f>
        <v>163787.93515295905</v>
      </c>
      <c r="P46" s="13">
        <f t="shared" si="14"/>
        <v>655151.74061183608</v>
      </c>
      <c r="Q46" s="13">
        <v>0</v>
      </c>
      <c r="R46" s="13">
        <v>0</v>
      </c>
      <c r="S46" s="13">
        <f>MAX(0,MIN(Параметры!$C$26-M46,T45))</f>
        <v>178890.88399569388</v>
      </c>
      <c r="T46" s="13">
        <f t="shared" si="15"/>
        <v>84890794.699265167</v>
      </c>
      <c r="U46" s="13">
        <f t="shared" si="16"/>
        <v>182404.24328280904</v>
      </c>
      <c r="V46" s="13">
        <f t="shared" si="9"/>
        <v>-38259973.429723248</v>
      </c>
    </row>
    <row r="47" spans="1:22" x14ac:dyDescent="0.25">
      <c r="A47" s="14">
        <v>46</v>
      </c>
      <c r="B47" s="14" t="s">
        <v>108</v>
      </c>
      <c r="C47" s="15" t="s">
        <v>73</v>
      </c>
      <c r="D47" s="9">
        <f>Параметры!$C$4*Параметры!$C$7*(1+Параметры!$C$8)^INT((A47-Параметры!$C$11-1)/12)</f>
        <v>3325639.68</v>
      </c>
      <c r="E47" s="9">
        <f>D47/(1+Параметры!$C$13)</f>
        <v>2771366.4000000004</v>
      </c>
      <c r="F47" s="9">
        <f t="shared" si="10"/>
        <v>554273.2799999998</v>
      </c>
      <c r="G47" s="9">
        <f>IF(AND(A47&gt;Параметры!$C$11,A47&lt;=Параметры!$C$11+3),Параметры!$C$28,0)</f>
        <v>0</v>
      </c>
      <c r="H47" s="9">
        <f t="shared" si="11"/>
        <v>554273.2799999998</v>
      </c>
      <c r="I47" s="9">
        <f>E47*Параметры!$C$16</f>
        <v>415704.96</v>
      </c>
      <c r="J47" s="9">
        <f>Параметры!$C$27</f>
        <v>260416.66666666666</v>
      </c>
      <c r="K47" s="9">
        <f>MAX(0,Параметры!$C$20-Параметры!$C$27*MAX(0,A47-Параметры!$C$11-1))*Параметры!$C$15/12</f>
        <v>212456.59722222222</v>
      </c>
      <c r="L47" s="9">
        <f t="shared" si="12"/>
        <v>1882788.1761111114</v>
      </c>
      <c r="M47" s="9">
        <f>T46*Параметры!$C$10/12</f>
        <v>1061134.9337408144</v>
      </c>
      <c r="N47" s="9">
        <f t="shared" si="13"/>
        <v>821653.24237029697</v>
      </c>
      <c r="O47" s="9">
        <f>MAX(0,N47*Параметры!$C$14)</f>
        <v>164330.64847405942</v>
      </c>
      <c r="P47" s="9">
        <f t="shared" si="14"/>
        <v>657322.59389623755</v>
      </c>
      <c r="Q47" s="9">
        <v>0</v>
      </c>
      <c r="R47" s="9">
        <v>0</v>
      </c>
      <c r="S47" s="9">
        <f>MAX(0,MIN(Параметры!$C$26-M47,T46))</f>
        <v>181127.02004564018</v>
      </c>
      <c r="T47" s="9">
        <f t="shared" si="15"/>
        <v>84709667.679219529</v>
      </c>
      <c r="U47" s="9">
        <f t="shared" si="16"/>
        <v>182338.9605172642</v>
      </c>
      <c r="V47" s="9">
        <f t="shared" si="9"/>
        <v>-38077634.469205983</v>
      </c>
    </row>
    <row r="48" spans="1:22" x14ac:dyDescent="0.25">
      <c r="A48" s="11">
        <v>47</v>
      </c>
      <c r="B48" s="11" t="s">
        <v>109</v>
      </c>
      <c r="C48" s="12" t="s">
        <v>73</v>
      </c>
      <c r="D48" s="13">
        <f>Параметры!$C$4*Параметры!$C$7*(1+Параметры!$C$8)^INT((A48-Параметры!$C$11-1)/12)</f>
        <v>3591690.8544000005</v>
      </c>
      <c r="E48" s="13">
        <f>D48/(1+Параметры!$C$13)</f>
        <v>2993075.7120000008</v>
      </c>
      <c r="F48" s="13">
        <f t="shared" si="10"/>
        <v>598615.14239999978</v>
      </c>
      <c r="G48" s="13">
        <f>IF(AND(A48&gt;Параметры!$C$11,A48&lt;=Параметры!$C$11+3),Параметры!$C$28,0)</f>
        <v>0</v>
      </c>
      <c r="H48" s="13">
        <f t="shared" si="11"/>
        <v>598615.14239999978</v>
      </c>
      <c r="I48" s="13">
        <f>E48*Параметры!$C$16</f>
        <v>448961.35680000013</v>
      </c>
      <c r="J48" s="13">
        <f>Параметры!$C$27</f>
        <v>260416.66666666666</v>
      </c>
      <c r="K48" s="13">
        <f>MAX(0,Параметры!$C$20-Параметры!$C$27*MAX(0,A48-Параметры!$C$11-1))*Параметры!$C$15/12</f>
        <v>211979.16666666666</v>
      </c>
      <c r="L48" s="13">
        <f t="shared" si="12"/>
        <v>2071718.5218666673</v>
      </c>
      <c r="M48" s="13">
        <f>T47*Параметры!$C$10/12</f>
        <v>1058870.8459902441</v>
      </c>
      <c r="N48" s="13">
        <f t="shared" si="13"/>
        <v>1012847.6758764233</v>
      </c>
      <c r="O48" s="13">
        <f>MAX(0,N48*Параметры!$C$14)</f>
        <v>202569.53517528466</v>
      </c>
      <c r="P48" s="13">
        <f t="shared" si="14"/>
        <v>810278.14070113865</v>
      </c>
      <c r="Q48" s="13">
        <v>0</v>
      </c>
      <c r="R48" s="13">
        <v>0</v>
      </c>
      <c r="S48" s="13">
        <f>MAX(0,MIN(Параметры!$C$26-M48,T47))</f>
        <v>183391.10779621056</v>
      </c>
      <c r="T48" s="13">
        <f t="shared" si="15"/>
        <v>84526276.571423322</v>
      </c>
      <c r="U48" s="13">
        <f t="shared" si="16"/>
        <v>288688.55717159505</v>
      </c>
      <c r="V48" s="13">
        <f t="shared" si="9"/>
        <v>-37788945.912034385</v>
      </c>
    </row>
    <row r="49" spans="1:22" x14ac:dyDescent="0.25">
      <c r="A49" s="14">
        <v>48</v>
      </c>
      <c r="B49" s="14" t="s">
        <v>110</v>
      </c>
      <c r="C49" s="15" t="s">
        <v>73</v>
      </c>
      <c r="D49" s="9">
        <f>Параметры!$C$4*Параметры!$C$7*(1+Параметры!$C$8)^INT((A49-Параметры!$C$11-1)/12)</f>
        <v>3591690.8544000005</v>
      </c>
      <c r="E49" s="9">
        <f>D49/(1+Параметры!$C$13)</f>
        <v>2993075.7120000008</v>
      </c>
      <c r="F49" s="9">
        <f t="shared" si="10"/>
        <v>598615.14239999978</v>
      </c>
      <c r="G49" s="9">
        <f>IF(AND(A49&gt;Параметры!$C$11,A49&lt;=Параметры!$C$11+3),Параметры!$C$28,0)</f>
        <v>0</v>
      </c>
      <c r="H49" s="9">
        <f t="shared" si="11"/>
        <v>598615.14239999978</v>
      </c>
      <c r="I49" s="9">
        <f>E49*Параметры!$C$16</f>
        <v>448961.35680000013</v>
      </c>
      <c r="J49" s="9">
        <f>Параметры!$C$27</f>
        <v>260416.66666666666</v>
      </c>
      <c r="K49" s="9">
        <f>MAX(0,Параметры!$C$20-Параметры!$C$27*MAX(0,A49-Параметры!$C$11-1))*Параметры!$C$15/12</f>
        <v>211501.73611111109</v>
      </c>
      <c r="L49" s="9">
        <f t="shared" si="12"/>
        <v>2072195.9524222231</v>
      </c>
      <c r="M49" s="9">
        <f>T48*Параметры!$C$10/12</f>
        <v>1056578.4571427915</v>
      </c>
      <c r="N49" s="9">
        <f t="shared" si="13"/>
        <v>1015617.4952794316</v>
      </c>
      <c r="O49" s="9">
        <f>MAX(0,N49*Параметры!$C$14)</f>
        <v>203123.49905588632</v>
      </c>
      <c r="P49" s="9">
        <f t="shared" si="14"/>
        <v>812493.99622354528</v>
      </c>
      <c r="Q49" s="9">
        <v>0</v>
      </c>
      <c r="R49" s="9">
        <v>0</v>
      </c>
      <c r="S49" s="9">
        <f>MAX(0,MIN(Параметры!$C$26-M49,T48))</f>
        <v>185683.49664366315</v>
      </c>
      <c r="T49" s="9">
        <f t="shared" si="15"/>
        <v>84340593.07477966</v>
      </c>
      <c r="U49" s="9">
        <f t="shared" si="16"/>
        <v>288612.02384654898</v>
      </c>
      <c r="V49" s="9">
        <f t="shared" si="9"/>
        <v>-37500333.888187833</v>
      </c>
    </row>
    <row r="50" spans="1:22" x14ac:dyDescent="0.25">
      <c r="A50" s="11">
        <v>49</v>
      </c>
      <c r="B50" s="11" t="s">
        <v>111</v>
      </c>
      <c r="C50" s="12" t="s">
        <v>73</v>
      </c>
      <c r="D50" s="13">
        <f>Параметры!$C$4*Параметры!$C$7*(1+Параметры!$C$8)^INT((A50-Параметры!$C$11-1)/12)</f>
        <v>3591690.8544000005</v>
      </c>
      <c r="E50" s="13">
        <f>D50/(1+Параметры!$C$13)</f>
        <v>2993075.7120000008</v>
      </c>
      <c r="F50" s="13">
        <f t="shared" si="10"/>
        <v>598615.14239999978</v>
      </c>
      <c r="G50" s="13">
        <f>IF(AND(A50&gt;Параметры!$C$11,A50&lt;=Параметры!$C$11+3),Параметры!$C$28,0)</f>
        <v>0</v>
      </c>
      <c r="H50" s="13">
        <f t="shared" si="11"/>
        <v>598615.14239999978</v>
      </c>
      <c r="I50" s="13">
        <f>E50*Параметры!$C$16</f>
        <v>448961.35680000013</v>
      </c>
      <c r="J50" s="13">
        <f>Параметры!$C$27</f>
        <v>260416.66666666666</v>
      </c>
      <c r="K50" s="13">
        <f>MAX(0,Параметры!$C$20-Параметры!$C$27*MAX(0,A50-Параметры!$C$11-1))*Параметры!$C$15/12</f>
        <v>211024.30555555553</v>
      </c>
      <c r="L50" s="13">
        <f t="shared" si="12"/>
        <v>2072673.3829777786</v>
      </c>
      <c r="M50" s="13">
        <f>T49*Параметры!$C$10/12</f>
        <v>1054257.4134347457</v>
      </c>
      <c r="N50" s="13">
        <f t="shared" si="13"/>
        <v>1018415.9695430328</v>
      </c>
      <c r="O50" s="13">
        <f>MAX(0,N50*Параметры!$C$14)</f>
        <v>203683.19390860657</v>
      </c>
      <c r="P50" s="13">
        <f t="shared" si="14"/>
        <v>814732.77563442627</v>
      </c>
      <c r="Q50" s="13">
        <v>0</v>
      </c>
      <c r="R50" s="13">
        <v>0</v>
      </c>
      <c r="S50" s="13">
        <f>MAX(0,MIN(Параметры!$C$26-M50,T49))</f>
        <v>188004.54035170889</v>
      </c>
      <c r="T50" s="13">
        <f t="shared" si="15"/>
        <v>84152588.534427956</v>
      </c>
      <c r="U50" s="13">
        <f t="shared" si="16"/>
        <v>288529.75954938424</v>
      </c>
      <c r="V50" s="13">
        <f t="shared" si="9"/>
        <v>-37211804.128638446</v>
      </c>
    </row>
    <row r="51" spans="1:22" x14ac:dyDescent="0.25">
      <c r="A51" s="14">
        <v>50</v>
      </c>
      <c r="B51" s="14" t="s">
        <v>112</v>
      </c>
      <c r="C51" s="15" t="s">
        <v>73</v>
      </c>
      <c r="D51" s="9">
        <f>Параметры!$C$4*Параметры!$C$7*(1+Параметры!$C$8)^INT((A51-Параметры!$C$11-1)/12)</f>
        <v>3591690.8544000005</v>
      </c>
      <c r="E51" s="9">
        <f>D51/(1+Параметры!$C$13)</f>
        <v>2993075.7120000008</v>
      </c>
      <c r="F51" s="9">
        <f t="shared" si="10"/>
        <v>598615.14239999978</v>
      </c>
      <c r="G51" s="9">
        <f>IF(AND(A51&gt;Параметры!$C$11,A51&lt;=Параметры!$C$11+3),Параметры!$C$28,0)</f>
        <v>0</v>
      </c>
      <c r="H51" s="9">
        <f t="shared" si="11"/>
        <v>598615.14239999978</v>
      </c>
      <c r="I51" s="9">
        <f>E51*Параметры!$C$16</f>
        <v>448961.35680000013</v>
      </c>
      <c r="J51" s="9">
        <f>Параметры!$C$27</f>
        <v>260416.66666666666</v>
      </c>
      <c r="K51" s="9">
        <f>MAX(0,Параметры!$C$20-Параметры!$C$27*MAX(0,A51-Параметры!$C$11-1))*Параметры!$C$15/12</f>
        <v>210546.875</v>
      </c>
      <c r="L51" s="9">
        <f t="shared" si="12"/>
        <v>2073150.8135333341</v>
      </c>
      <c r="M51" s="9">
        <f>T50*Параметры!$C$10/12</f>
        <v>1051907.3566803494</v>
      </c>
      <c r="N51" s="9">
        <f t="shared" si="13"/>
        <v>1021243.4568529846</v>
      </c>
      <c r="O51" s="9">
        <f>MAX(0,N51*Параметры!$C$14)</f>
        <v>204248.69137059693</v>
      </c>
      <c r="P51" s="9">
        <f t="shared" si="14"/>
        <v>816994.76548238774</v>
      </c>
      <c r="Q51" s="9">
        <v>0</v>
      </c>
      <c r="R51" s="9">
        <v>0</v>
      </c>
      <c r="S51" s="9">
        <f>MAX(0,MIN(Параметры!$C$26-M51,T50))</f>
        <v>190354.59710610518</v>
      </c>
      <c r="T51" s="9">
        <f t="shared" si="15"/>
        <v>83962233.937321857</v>
      </c>
      <c r="U51" s="9">
        <f t="shared" si="16"/>
        <v>288441.69264294952</v>
      </c>
      <c r="V51" s="9">
        <f t="shared" si="9"/>
        <v>-36923362.435995497</v>
      </c>
    </row>
    <row r="52" spans="1:22" x14ac:dyDescent="0.25">
      <c r="A52" s="11">
        <v>51</v>
      </c>
      <c r="B52" s="11" t="s">
        <v>113</v>
      </c>
      <c r="C52" s="12" t="s">
        <v>73</v>
      </c>
      <c r="D52" s="13">
        <f>Параметры!$C$4*Параметры!$C$7*(1+Параметры!$C$8)^INT((A52-Параметры!$C$11-1)/12)</f>
        <v>3591690.8544000005</v>
      </c>
      <c r="E52" s="13">
        <f>D52/(1+Параметры!$C$13)</f>
        <v>2993075.7120000008</v>
      </c>
      <c r="F52" s="13">
        <f t="shared" si="10"/>
        <v>598615.14239999978</v>
      </c>
      <c r="G52" s="13">
        <f>IF(AND(A52&gt;Параметры!$C$11,A52&lt;=Параметры!$C$11+3),Параметры!$C$28,0)</f>
        <v>0</v>
      </c>
      <c r="H52" s="13">
        <f t="shared" si="11"/>
        <v>598615.14239999978</v>
      </c>
      <c r="I52" s="13">
        <f>E52*Параметры!$C$16</f>
        <v>448961.35680000013</v>
      </c>
      <c r="J52" s="13">
        <f>Параметры!$C$27</f>
        <v>260416.66666666666</v>
      </c>
      <c r="K52" s="13">
        <f>MAX(0,Параметры!$C$20-Параметры!$C$27*MAX(0,A52-Параметры!$C$11-1))*Параметры!$C$15/12</f>
        <v>210069.44444444441</v>
      </c>
      <c r="L52" s="13">
        <f t="shared" si="12"/>
        <v>2073628.2440888896</v>
      </c>
      <c r="M52" s="13">
        <f>T51*Параметры!$C$10/12</f>
        <v>1049527.9242165231</v>
      </c>
      <c r="N52" s="13">
        <f t="shared" si="13"/>
        <v>1024100.3198723665</v>
      </c>
      <c r="O52" s="13">
        <f>MAX(0,N52*Параметры!$C$14)</f>
        <v>204820.06397447331</v>
      </c>
      <c r="P52" s="13">
        <f t="shared" si="14"/>
        <v>819280.25589789322</v>
      </c>
      <c r="Q52" s="13">
        <v>0</v>
      </c>
      <c r="R52" s="13">
        <v>0</v>
      </c>
      <c r="S52" s="13">
        <f>MAX(0,MIN(Параметры!$C$26-M52,T51))</f>
        <v>192734.02956993156</v>
      </c>
      <c r="T52" s="13">
        <f t="shared" si="15"/>
        <v>83769499.907751918</v>
      </c>
      <c r="U52" s="13">
        <f t="shared" si="16"/>
        <v>288347.75059462851</v>
      </c>
      <c r="V52" s="13">
        <f t="shared" si="9"/>
        <v>-36635014.685400866</v>
      </c>
    </row>
    <row r="53" spans="1:22" x14ac:dyDescent="0.25">
      <c r="A53" s="14">
        <v>52</v>
      </c>
      <c r="B53" s="14" t="s">
        <v>114</v>
      </c>
      <c r="C53" s="15" t="s">
        <v>73</v>
      </c>
      <c r="D53" s="9">
        <f>Параметры!$C$4*Параметры!$C$7*(1+Параметры!$C$8)^INT((A53-Параметры!$C$11-1)/12)</f>
        <v>3591690.8544000005</v>
      </c>
      <c r="E53" s="9">
        <f>D53/(1+Параметры!$C$13)</f>
        <v>2993075.7120000008</v>
      </c>
      <c r="F53" s="9">
        <f t="shared" si="10"/>
        <v>598615.14239999978</v>
      </c>
      <c r="G53" s="9">
        <f>IF(AND(A53&gt;Параметры!$C$11,A53&lt;=Параметры!$C$11+3),Параметры!$C$28,0)</f>
        <v>0</v>
      </c>
      <c r="H53" s="9">
        <f t="shared" si="11"/>
        <v>598615.14239999978</v>
      </c>
      <c r="I53" s="9">
        <f>E53*Параметры!$C$16</f>
        <v>448961.35680000013</v>
      </c>
      <c r="J53" s="9">
        <f>Параметры!$C$27</f>
        <v>260416.66666666666</v>
      </c>
      <c r="K53" s="9">
        <f>MAX(0,Параметры!$C$20-Параметры!$C$27*MAX(0,A53-Параметры!$C$11-1))*Параметры!$C$15/12</f>
        <v>209592.01388888888</v>
      </c>
      <c r="L53" s="9">
        <f t="shared" si="12"/>
        <v>2074105.6746444451</v>
      </c>
      <c r="M53" s="9">
        <f>T52*Параметры!$C$10/12</f>
        <v>1047118.7488468989</v>
      </c>
      <c r="N53" s="9">
        <f t="shared" si="13"/>
        <v>1026986.9257975462</v>
      </c>
      <c r="O53" s="9">
        <f>MAX(0,N53*Параметры!$C$14)</f>
        <v>205397.38515950926</v>
      </c>
      <c r="P53" s="9">
        <f t="shared" si="14"/>
        <v>821589.54063803691</v>
      </c>
      <c r="Q53" s="9">
        <v>0</v>
      </c>
      <c r="R53" s="9">
        <v>0</v>
      </c>
      <c r="S53" s="9">
        <f>MAX(0,MIN(Параметры!$C$26-M53,T52))</f>
        <v>195143.20493955573</v>
      </c>
      <c r="T53" s="9">
        <f t="shared" si="15"/>
        <v>83574356.702812359</v>
      </c>
      <c r="U53" s="9">
        <f t="shared" si="16"/>
        <v>288247.85996514803</v>
      </c>
      <c r="V53" s="9">
        <f t="shared" si="9"/>
        <v>-36346766.82543572</v>
      </c>
    </row>
    <row r="54" spans="1:22" x14ac:dyDescent="0.25">
      <c r="A54" s="11">
        <v>53</v>
      </c>
      <c r="B54" s="11" t="s">
        <v>115</v>
      </c>
      <c r="C54" s="12" t="s">
        <v>73</v>
      </c>
      <c r="D54" s="13">
        <f>Параметры!$C$4*Параметры!$C$7*(1+Параметры!$C$8)^INT((A54-Параметры!$C$11-1)/12)</f>
        <v>3591690.8544000005</v>
      </c>
      <c r="E54" s="13">
        <f>D54/(1+Параметры!$C$13)</f>
        <v>2993075.7120000008</v>
      </c>
      <c r="F54" s="13">
        <f t="shared" si="10"/>
        <v>598615.14239999978</v>
      </c>
      <c r="G54" s="13">
        <f>IF(AND(A54&gt;Параметры!$C$11,A54&lt;=Параметры!$C$11+3),Параметры!$C$28,0)</f>
        <v>0</v>
      </c>
      <c r="H54" s="13">
        <f t="shared" si="11"/>
        <v>598615.14239999978</v>
      </c>
      <c r="I54" s="13">
        <f>E54*Параметры!$C$16</f>
        <v>448961.35680000013</v>
      </c>
      <c r="J54" s="13">
        <f>Параметры!$C$27</f>
        <v>260416.66666666666</v>
      </c>
      <c r="K54" s="13">
        <f>MAX(0,Параметры!$C$20-Параметры!$C$27*MAX(0,A54-Параметры!$C$11-1))*Параметры!$C$15/12</f>
        <v>209114.58333333334</v>
      </c>
      <c r="L54" s="13">
        <f t="shared" si="12"/>
        <v>2074583.1052000008</v>
      </c>
      <c r="M54" s="13">
        <f>T53*Параметры!$C$10/12</f>
        <v>1044679.4587851544</v>
      </c>
      <c r="N54" s="13">
        <f t="shared" si="13"/>
        <v>1029903.6464148464</v>
      </c>
      <c r="O54" s="13">
        <f>MAX(0,N54*Параметры!$C$14)</f>
        <v>205980.72928296929</v>
      </c>
      <c r="P54" s="13">
        <f t="shared" si="14"/>
        <v>823922.91713187716</v>
      </c>
      <c r="Q54" s="13">
        <v>0</v>
      </c>
      <c r="R54" s="13">
        <v>0</v>
      </c>
      <c r="S54" s="13">
        <f>MAX(0,MIN(Параметры!$C$26-M54,T53))</f>
        <v>197582.49500130024</v>
      </c>
      <c r="T54" s="13">
        <f t="shared" si="15"/>
        <v>83376774.207811058</v>
      </c>
      <c r="U54" s="13">
        <f t="shared" si="16"/>
        <v>288141.94639724377</v>
      </c>
      <c r="V54" s="13">
        <f t="shared" si="9"/>
        <v>-36058624.879038475</v>
      </c>
    </row>
    <row r="55" spans="1:22" x14ac:dyDescent="0.25">
      <c r="A55" s="14">
        <v>54</v>
      </c>
      <c r="B55" s="14" t="s">
        <v>116</v>
      </c>
      <c r="C55" s="15" t="s">
        <v>73</v>
      </c>
      <c r="D55" s="9">
        <f>Параметры!$C$4*Параметры!$C$7*(1+Параметры!$C$8)^INT((A55-Параметры!$C$11-1)/12)</f>
        <v>3591690.8544000005</v>
      </c>
      <c r="E55" s="9">
        <f>D55/(1+Параметры!$C$13)</f>
        <v>2993075.7120000008</v>
      </c>
      <c r="F55" s="9">
        <f t="shared" si="10"/>
        <v>598615.14239999978</v>
      </c>
      <c r="G55" s="9">
        <f>IF(AND(A55&gt;Параметры!$C$11,A55&lt;=Параметры!$C$11+3),Параметры!$C$28,0)</f>
        <v>0</v>
      </c>
      <c r="H55" s="9">
        <f t="shared" si="11"/>
        <v>598615.14239999978</v>
      </c>
      <c r="I55" s="9">
        <f>E55*Параметры!$C$16</f>
        <v>448961.35680000013</v>
      </c>
      <c r="J55" s="9">
        <f>Параметры!$C$27</f>
        <v>260416.66666666666</v>
      </c>
      <c r="K55" s="9">
        <f>MAX(0,Параметры!$C$20-Параметры!$C$27*MAX(0,A55-Параметры!$C$11-1))*Параметры!$C$15/12</f>
        <v>208637.15277777775</v>
      </c>
      <c r="L55" s="9">
        <f t="shared" si="12"/>
        <v>2075060.5357555563</v>
      </c>
      <c r="M55" s="9">
        <f>T54*Параметры!$C$10/12</f>
        <v>1042209.6775976382</v>
      </c>
      <c r="N55" s="9">
        <f t="shared" si="13"/>
        <v>1032850.8581579181</v>
      </c>
      <c r="O55" s="9">
        <f>MAX(0,N55*Параметры!$C$14)</f>
        <v>206570.17163158362</v>
      </c>
      <c r="P55" s="9">
        <f t="shared" si="14"/>
        <v>826280.6865263345</v>
      </c>
      <c r="Q55" s="9">
        <v>0</v>
      </c>
      <c r="R55" s="9">
        <v>0</v>
      </c>
      <c r="S55" s="9">
        <f>MAX(0,MIN(Параметры!$C$26-M55,T54))</f>
        <v>200052.27618881641</v>
      </c>
      <c r="T55" s="9">
        <f t="shared" si="15"/>
        <v>83176721.931622237</v>
      </c>
      <c r="U55" s="9">
        <f t="shared" si="16"/>
        <v>288029.93460418493</v>
      </c>
      <c r="V55" s="9">
        <f t="shared" si="9"/>
        <v>-35770594.944434293</v>
      </c>
    </row>
    <row r="56" spans="1:22" x14ac:dyDescent="0.25">
      <c r="A56" s="11">
        <v>55</v>
      </c>
      <c r="B56" s="11" t="s">
        <v>117</v>
      </c>
      <c r="C56" s="12" t="s">
        <v>73</v>
      </c>
      <c r="D56" s="13">
        <f>Параметры!$C$4*Параметры!$C$7*(1+Параметры!$C$8)^INT((A56-Параметры!$C$11-1)/12)</f>
        <v>3591690.8544000005</v>
      </c>
      <c r="E56" s="13">
        <f>D56/(1+Параметры!$C$13)</f>
        <v>2993075.7120000008</v>
      </c>
      <c r="F56" s="13">
        <f t="shared" si="10"/>
        <v>598615.14239999978</v>
      </c>
      <c r="G56" s="13">
        <f>IF(AND(A56&gt;Параметры!$C$11,A56&lt;=Параметры!$C$11+3),Параметры!$C$28,0)</f>
        <v>0</v>
      </c>
      <c r="H56" s="13">
        <f t="shared" si="11"/>
        <v>598615.14239999978</v>
      </c>
      <c r="I56" s="13">
        <f>E56*Параметры!$C$16</f>
        <v>448961.35680000013</v>
      </c>
      <c r="J56" s="13">
        <f>Параметры!$C$27</f>
        <v>260416.66666666666</v>
      </c>
      <c r="K56" s="13">
        <f>MAX(0,Параметры!$C$20-Параметры!$C$27*MAX(0,A56-Параметры!$C$11-1))*Параметры!$C$15/12</f>
        <v>208159.72222222222</v>
      </c>
      <c r="L56" s="13">
        <f t="shared" si="12"/>
        <v>2075537.9663111118</v>
      </c>
      <c r="M56" s="13">
        <f>T55*Параметры!$C$10/12</f>
        <v>1039709.024145278</v>
      </c>
      <c r="N56" s="13">
        <f t="shared" si="13"/>
        <v>1035828.9421658338</v>
      </c>
      <c r="O56" s="13">
        <f>MAX(0,N56*Параметры!$C$14)</f>
        <v>207165.78843316677</v>
      </c>
      <c r="P56" s="13">
        <f t="shared" si="14"/>
        <v>828663.15373266698</v>
      </c>
      <c r="Q56" s="13">
        <v>0</v>
      </c>
      <c r="R56" s="13">
        <v>0</v>
      </c>
      <c r="S56" s="13">
        <f>MAX(0,MIN(Параметры!$C$26-M56,T55))</f>
        <v>202552.9296411766</v>
      </c>
      <c r="T56" s="13">
        <f t="shared" si="15"/>
        <v>82974169.001981065</v>
      </c>
      <c r="U56" s="13">
        <f t="shared" si="16"/>
        <v>287911.74835815735</v>
      </c>
      <c r="V56" s="13">
        <f t="shared" si="9"/>
        <v>-35482683.196076132</v>
      </c>
    </row>
    <row r="57" spans="1:22" x14ac:dyDescent="0.25">
      <c r="A57" s="14">
        <v>56</v>
      </c>
      <c r="B57" s="14" t="s">
        <v>118</v>
      </c>
      <c r="C57" s="15" t="s">
        <v>73</v>
      </c>
      <c r="D57" s="9">
        <f>Параметры!$C$4*Параметры!$C$7*(1+Параметры!$C$8)^INT((A57-Параметры!$C$11-1)/12)</f>
        <v>3591690.8544000005</v>
      </c>
      <c r="E57" s="9">
        <f>D57/(1+Параметры!$C$13)</f>
        <v>2993075.7120000008</v>
      </c>
      <c r="F57" s="9">
        <f t="shared" si="10"/>
        <v>598615.14239999978</v>
      </c>
      <c r="G57" s="9">
        <f>IF(AND(A57&gt;Параметры!$C$11,A57&lt;=Параметры!$C$11+3),Параметры!$C$28,0)</f>
        <v>0</v>
      </c>
      <c r="H57" s="9">
        <f t="shared" si="11"/>
        <v>598615.14239999978</v>
      </c>
      <c r="I57" s="9">
        <f>E57*Параметры!$C$16</f>
        <v>448961.35680000013</v>
      </c>
      <c r="J57" s="9">
        <f>Параметры!$C$27</f>
        <v>260416.66666666666</v>
      </c>
      <c r="K57" s="9">
        <f>MAX(0,Параметры!$C$20-Параметры!$C$27*MAX(0,A57-Параметры!$C$11-1))*Параметры!$C$15/12</f>
        <v>207682.29166666666</v>
      </c>
      <c r="L57" s="9">
        <f t="shared" si="12"/>
        <v>2076015.3968666673</v>
      </c>
      <c r="M57" s="9">
        <f>T56*Параметры!$C$10/12</f>
        <v>1037177.1125247632</v>
      </c>
      <c r="N57" s="9">
        <f t="shared" si="13"/>
        <v>1038838.2843419041</v>
      </c>
      <c r="O57" s="9">
        <f>MAX(0,N57*Параметры!$C$14)</f>
        <v>207767.65686838084</v>
      </c>
      <c r="P57" s="9">
        <f t="shared" si="14"/>
        <v>831070.62747352326</v>
      </c>
      <c r="Q57" s="9">
        <v>0</v>
      </c>
      <c r="R57" s="9">
        <v>0</v>
      </c>
      <c r="S57" s="9">
        <f>MAX(0,MIN(Параметры!$C$26-M57,T56))</f>
        <v>205084.84126169141</v>
      </c>
      <c r="T57" s="9">
        <f t="shared" si="15"/>
        <v>82769084.16071938</v>
      </c>
      <c r="U57" s="9">
        <f t="shared" si="16"/>
        <v>287787.31047849869</v>
      </c>
      <c r="V57" s="9">
        <f t="shared" si="9"/>
        <v>-35194895.885597631</v>
      </c>
    </row>
    <row r="58" spans="1:22" x14ac:dyDescent="0.25">
      <c r="A58" s="11">
        <v>57</v>
      </c>
      <c r="B58" s="11" t="s">
        <v>119</v>
      </c>
      <c r="C58" s="12" t="s">
        <v>73</v>
      </c>
      <c r="D58" s="13">
        <f>Параметры!$C$4*Параметры!$C$7*(1+Параметры!$C$8)^INT((A58-Параметры!$C$11-1)/12)</f>
        <v>3591690.8544000005</v>
      </c>
      <c r="E58" s="13">
        <f>D58/(1+Параметры!$C$13)</f>
        <v>2993075.7120000008</v>
      </c>
      <c r="F58" s="13">
        <f t="shared" si="10"/>
        <v>598615.14239999978</v>
      </c>
      <c r="G58" s="13">
        <f>IF(AND(A58&gt;Параметры!$C$11,A58&lt;=Параметры!$C$11+3),Параметры!$C$28,0)</f>
        <v>0</v>
      </c>
      <c r="H58" s="13">
        <f t="shared" si="11"/>
        <v>598615.14239999978</v>
      </c>
      <c r="I58" s="13">
        <f>E58*Параметры!$C$16</f>
        <v>448961.35680000013</v>
      </c>
      <c r="J58" s="13">
        <f>Параметры!$C$27</f>
        <v>260416.66666666666</v>
      </c>
      <c r="K58" s="13">
        <f>MAX(0,Параметры!$C$20-Параметры!$C$27*MAX(0,A58-Параметры!$C$11-1))*Параметры!$C$15/12</f>
        <v>207204.86111111109</v>
      </c>
      <c r="L58" s="13">
        <f t="shared" si="12"/>
        <v>2076492.8274222231</v>
      </c>
      <c r="M58" s="13">
        <f>T57*Параметры!$C$10/12</f>
        <v>1034613.5520089922</v>
      </c>
      <c r="N58" s="13">
        <f t="shared" si="13"/>
        <v>1041879.2754132309</v>
      </c>
      <c r="O58" s="13">
        <f>MAX(0,N58*Параметры!$C$14)</f>
        <v>208375.85508264619</v>
      </c>
      <c r="P58" s="13">
        <f t="shared" si="14"/>
        <v>833503.42033058475</v>
      </c>
      <c r="Q58" s="13">
        <v>0</v>
      </c>
      <c r="R58" s="13">
        <v>0</v>
      </c>
      <c r="S58" s="13">
        <f>MAX(0,MIN(Параметры!$C$26-M58,T57))</f>
        <v>207648.40177746245</v>
      </c>
      <c r="T58" s="13">
        <f t="shared" si="15"/>
        <v>82561435.758941919</v>
      </c>
      <c r="U58" s="13">
        <f t="shared" si="16"/>
        <v>287656.54281978926</v>
      </c>
      <c r="V58" s="13">
        <f t="shared" si="9"/>
        <v>-34907239.342777841</v>
      </c>
    </row>
    <row r="59" spans="1:22" x14ac:dyDescent="0.25">
      <c r="A59" s="14">
        <v>58</v>
      </c>
      <c r="B59" s="14" t="s">
        <v>120</v>
      </c>
      <c r="C59" s="15" t="s">
        <v>73</v>
      </c>
      <c r="D59" s="9">
        <f>Параметры!$C$4*Параметры!$C$7*(1+Параметры!$C$8)^INT((A59-Параметры!$C$11-1)/12)</f>
        <v>3591690.8544000005</v>
      </c>
      <c r="E59" s="9">
        <f>D59/(1+Параметры!$C$13)</f>
        <v>2993075.7120000008</v>
      </c>
      <c r="F59" s="9">
        <f t="shared" si="10"/>
        <v>598615.14239999978</v>
      </c>
      <c r="G59" s="9">
        <f>IF(AND(A59&gt;Параметры!$C$11,A59&lt;=Параметры!$C$11+3),Параметры!$C$28,0)</f>
        <v>0</v>
      </c>
      <c r="H59" s="9">
        <f t="shared" si="11"/>
        <v>598615.14239999978</v>
      </c>
      <c r="I59" s="9">
        <f>E59*Параметры!$C$16</f>
        <v>448961.35680000013</v>
      </c>
      <c r="J59" s="9">
        <f>Параметры!$C$27</f>
        <v>260416.66666666666</v>
      </c>
      <c r="K59" s="9">
        <f>MAX(0,Параметры!$C$20-Параметры!$C$27*MAX(0,A59-Параметры!$C$11-1))*Параметры!$C$15/12</f>
        <v>206727.43055555553</v>
      </c>
      <c r="L59" s="9">
        <f t="shared" si="12"/>
        <v>2076970.2579777786</v>
      </c>
      <c r="M59" s="9">
        <f>T58*Параметры!$C$10/12</f>
        <v>1032017.946986774</v>
      </c>
      <c r="N59" s="9">
        <f t="shared" si="13"/>
        <v>1044952.3109910046</v>
      </c>
      <c r="O59" s="9">
        <f>MAX(0,N59*Параметры!$C$14)</f>
        <v>208990.46219820093</v>
      </c>
      <c r="P59" s="9">
        <f t="shared" si="14"/>
        <v>835961.84879280371</v>
      </c>
      <c r="Q59" s="9">
        <v>0</v>
      </c>
      <c r="R59" s="9">
        <v>0</v>
      </c>
      <c r="S59" s="9">
        <f>MAX(0,MIN(Параметры!$C$26-M59,T58))</f>
        <v>210244.00679968065</v>
      </c>
      <c r="T59" s="9">
        <f t="shared" si="15"/>
        <v>82351191.752142236</v>
      </c>
      <c r="U59" s="9">
        <f t="shared" si="16"/>
        <v>287519.36625979003</v>
      </c>
      <c r="V59" s="9">
        <f t="shared" si="9"/>
        <v>-34619719.97651805</v>
      </c>
    </row>
    <row r="60" spans="1:22" x14ac:dyDescent="0.25">
      <c r="A60" s="11">
        <v>59</v>
      </c>
      <c r="B60" s="11" t="s">
        <v>121</v>
      </c>
      <c r="C60" s="12" t="s">
        <v>73</v>
      </c>
      <c r="D60" s="13">
        <f>Параметры!$C$4*Параметры!$C$7*(1+Параметры!$C$8)^INT((A60-Параметры!$C$11-1)/12)</f>
        <v>3879026.122752001</v>
      </c>
      <c r="E60" s="13">
        <f>D60/(1+Параметры!$C$13)</f>
        <v>3232521.7689600009</v>
      </c>
      <c r="F60" s="13">
        <f t="shared" si="10"/>
        <v>646504.3537920001</v>
      </c>
      <c r="G60" s="13">
        <f>IF(AND(A60&gt;Параметры!$C$11,A60&lt;=Параметры!$C$11+3),Параметры!$C$28,0)</f>
        <v>0</v>
      </c>
      <c r="H60" s="13">
        <f t="shared" si="11"/>
        <v>646504.3537920001</v>
      </c>
      <c r="I60" s="13">
        <f>E60*Параметры!$C$16</f>
        <v>484878.26534400013</v>
      </c>
      <c r="J60" s="13">
        <f>Параметры!$C$27</f>
        <v>260416.66666666666</v>
      </c>
      <c r="K60" s="13">
        <f>MAX(0,Параметры!$C$20-Параметры!$C$27*MAX(0,A60-Параметры!$C$11-1))*Параметры!$C$15/12</f>
        <v>206250</v>
      </c>
      <c r="L60" s="13">
        <f t="shared" si="12"/>
        <v>2280976.8369493345</v>
      </c>
      <c r="M60" s="13">
        <f>T59*Параметры!$C$10/12</f>
        <v>1029389.8969017779</v>
      </c>
      <c r="N60" s="13">
        <f t="shared" si="13"/>
        <v>1251586.9400475565</v>
      </c>
      <c r="O60" s="13">
        <f>MAX(0,N60*Параметры!$C$14)</f>
        <v>250317.38800951131</v>
      </c>
      <c r="P60" s="13">
        <f t="shared" si="14"/>
        <v>1001269.5520380453</v>
      </c>
      <c r="Q60" s="13">
        <v>0</v>
      </c>
      <c r="R60" s="13">
        <v>0</v>
      </c>
      <c r="S60" s="13">
        <f>MAX(0,MIN(Параметры!$C$26-M60,T59))</f>
        <v>212872.05688467668</v>
      </c>
      <c r="T60" s="13">
        <f t="shared" si="15"/>
        <v>82138319.695257559</v>
      </c>
      <c r="U60" s="13">
        <f t="shared" si="16"/>
        <v>402309.8080280351</v>
      </c>
      <c r="V60" s="13">
        <f t="shared" si="9"/>
        <v>-34217410.168490015</v>
      </c>
    </row>
    <row r="61" spans="1:22" x14ac:dyDescent="0.25">
      <c r="A61" s="14">
        <v>60</v>
      </c>
      <c r="B61" s="14" t="s">
        <v>122</v>
      </c>
      <c r="C61" s="15" t="s">
        <v>73</v>
      </c>
      <c r="D61" s="9">
        <f>Параметры!$C$4*Параметры!$C$7*(1+Параметры!$C$8)^INT((A61-Параметры!$C$11-1)/12)</f>
        <v>3879026.122752001</v>
      </c>
      <c r="E61" s="9">
        <f>D61/(1+Параметры!$C$13)</f>
        <v>3232521.7689600009</v>
      </c>
      <c r="F61" s="9">
        <f t="shared" si="10"/>
        <v>646504.3537920001</v>
      </c>
      <c r="G61" s="9">
        <f>IF(AND(A61&gt;Параметры!$C$11,A61&lt;=Параметры!$C$11+3),Параметры!$C$28,0)</f>
        <v>0</v>
      </c>
      <c r="H61" s="9">
        <f t="shared" si="11"/>
        <v>646504.3537920001</v>
      </c>
      <c r="I61" s="9">
        <f>E61*Параметры!$C$16</f>
        <v>484878.26534400013</v>
      </c>
      <c r="J61" s="9">
        <f>Параметры!$C$27</f>
        <v>260416.66666666666</v>
      </c>
      <c r="K61" s="9">
        <f>MAX(0,Параметры!$C$20-Параметры!$C$27*MAX(0,A61-Параметры!$C$11-1))*Параметры!$C$15/12</f>
        <v>205772.56944444441</v>
      </c>
      <c r="L61" s="9">
        <f t="shared" si="12"/>
        <v>2281454.26750489</v>
      </c>
      <c r="M61" s="9">
        <f>T60*Параметры!$C$10/12</f>
        <v>1026728.9961907194</v>
      </c>
      <c r="N61" s="9">
        <f t="shared" si="13"/>
        <v>1254725.2713141707</v>
      </c>
      <c r="O61" s="9">
        <f>MAX(0,N61*Параметры!$C$14)</f>
        <v>250945.05426283414</v>
      </c>
      <c r="P61" s="9">
        <f t="shared" si="14"/>
        <v>1003780.2170513365</v>
      </c>
      <c r="Q61" s="9">
        <v>0</v>
      </c>
      <c r="R61" s="9">
        <v>0</v>
      </c>
      <c r="S61" s="9">
        <f>MAX(0,MIN(Параметры!$C$26-M61,T60))</f>
        <v>215532.95759573521</v>
      </c>
      <c r="T61" s="9">
        <f t="shared" si="15"/>
        <v>81922786.737661824</v>
      </c>
      <c r="U61" s="9">
        <f t="shared" si="16"/>
        <v>402159.5723302681</v>
      </c>
      <c r="V61" s="9">
        <f t="shared" si="9"/>
        <v>-33815250.596159749</v>
      </c>
    </row>
    <row r="62" spans="1:22" x14ac:dyDescent="0.25">
      <c r="A62" s="11">
        <v>61</v>
      </c>
      <c r="B62" s="11" t="s">
        <v>123</v>
      </c>
      <c r="C62" s="12" t="s">
        <v>73</v>
      </c>
      <c r="D62" s="13">
        <f>Параметры!$C$4*Параметры!$C$7*(1+Параметры!$C$8)^INT((A62-Параметры!$C$11-1)/12)</f>
        <v>3879026.122752001</v>
      </c>
      <c r="E62" s="13">
        <f>D62/(1+Параметры!$C$13)</f>
        <v>3232521.7689600009</v>
      </c>
      <c r="F62" s="13">
        <f t="shared" si="10"/>
        <v>646504.3537920001</v>
      </c>
      <c r="G62" s="13">
        <f>IF(AND(A62&gt;Параметры!$C$11,A62&lt;=Параметры!$C$11+3),Параметры!$C$28,0)</f>
        <v>0</v>
      </c>
      <c r="H62" s="13">
        <f t="shared" si="11"/>
        <v>646504.3537920001</v>
      </c>
      <c r="I62" s="13">
        <f>E62*Параметры!$C$16</f>
        <v>484878.26534400013</v>
      </c>
      <c r="J62" s="13">
        <f>Параметры!$C$27</f>
        <v>260416.66666666666</v>
      </c>
      <c r="K62" s="13">
        <f>MAX(0,Параметры!$C$20-Параметры!$C$27*MAX(0,A62-Параметры!$C$11-1))*Параметры!$C$15/12</f>
        <v>205295.13888888888</v>
      </c>
      <c r="L62" s="13">
        <f t="shared" si="12"/>
        <v>2281931.6980604455</v>
      </c>
      <c r="M62" s="13">
        <f>T61*Параметры!$C$10/12</f>
        <v>1024034.8342207727</v>
      </c>
      <c r="N62" s="13">
        <f t="shared" si="13"/>
        <v>1257896.8638396729</v>
      </c>
      <c r="O62" s="13">
        <f>MAX(0,N62*Параметры!$C$14)</f>
        <v>251579.37276793458</v>
      </c>
      <c r="P62" s="13">
        <f t="shared" si="14"/>
        <v>1006317.4910717383</v>
      </c>
      <c r="Q62" s="13">
        <v>0</v>
      </c>
      <c r="R62" s="13">
        <v>0</v>
      </c>
      <c r="S62" s="13">
        <f>MAX(0,MIN(Параметры!$C$26-M62,T61))</f>
        <v>218227.1195656819</v>
      </c>
      <c r="T62" s="13">
        <f t="shared" si="15"/>
        <v>81704559.618096143</v>
      </c>
      <c r="U62" s="13">
        <f t="shared" si="16"/>
        <v>402002.68438072305</v>
      </c>
      <c r="V62" s="13">
        <f t="shared" si="9"/>
        <v>-33413247.911779027</v>
      </c>
    </row>
    <row r="63" spans="1:22" x14ac:dyDescent="0.25">
      <c r="A63" s="14">
        <v>62</v>
      </c>
      <c r="B63" s="14" t="s">
        <v>124</v>
      </c>
      <c r="C63" s="15" t="s">
        <v>73</v>
      </c>
      <c r="D63" s="9">
        <f>Параметры!$C$4*Параметры!$C$7*(1+Параметры!$C$8)^INT((A63-Параметры!$C$11-1)/12)</f>
        <v>3879026.122752001</v>
      </c>
      <c r="E63" s="9">
        <f>D63/(1+Параметры!$C$13)</f>
        <v>3232521.7689600009</v>
      </c>
      <c r="F63" s="9">
        <f t="shared" si="10"/>
        <v>646504.3537920001</v>
      </c>
      <c r="G63" s="9">
        <f>IF(AND(A63&gt;Параметры!$C$11,A63&lt;=Параметры!$C$11+3),Параметры!$C$28,0)</f>
        <v>0</v>
      </c>
      <c r="H63" s="9">
        <f t="shared" si="11"/>
        <v>646504.3537920001</v>
      </c>
      <c r="I63" s="9">
        <f>E63*Параметры!$C$16</f>
        <v>484878.26534400013</v>
      </c>
      <c r="J63" s="9">
        <f>Параметры!$C$27</f>
        <v>260416.66666666666</v>
      </c>
      <c r="K63" s="9">
        <f>MAX(0,Параметры!$C$20-Параметры!$C$27*MAX(0,A63-Параметры!$C$11-1))*Параметры!$C$15/12</f>
        <v>204817.70833333334</v>
      </c>
      <c r="L63" s="9">
        <f t="shared" si="12"/>
        <v>2282409.128616001</v>
      </c>
      <c r="M63" s="9">
        <f>T62*Параметры!$C$10/12</f>
        <v>1021306.9952262017</v>
      </c>
      <c r="N63" s="9">
        <f t="shared" si="13"/>
        <v>1261102.1333897994</v>
      </c>
      <c r="O63" s="9">
        <f>MAX(0,N63*Параметры!$C$14)</f>
        <v>252220.42667795988</v>
      </c>
      <c r="P63" s="9">
        <f t="shared" si="14"/>
        <v>1008881.7067118395</v>
      </c>
      <c r="Q63" s="9">
        <v>0</v>
      </c>
      <c r="R63" s="9">
        <v>0</v>
      </c>
      <c r="S63" s="9">
        <f>MAX(0,MIN(Параметры!$C$26-M63,T62))</f>
        <v>220954.95856025291</v>
      </c>
      <c r="T63" s="9">
        <f t="shared" si="15"/>
        <v>81483604.659535885</v>
      </c>
      <c r="U63" s="9">
        <f t="shared" si="16"/>
        <v>401839.06102625316</v>
      </c>
      <c r="V63" s="9">
        <f t="shared" si="9"/>
        <v>-33011408.850752775</v>
      </c>
    </row>
    <row r="64" spans="1:22" x14ac:dyDescent="0.25">
      <c r="A64" s="11">
        <v>63</v>
      </c>
      <c r="B64" s="11" t="s">
        <v>125</v>
      </c>
      <c r="C64" s="12" t="s">
        <v>73</v>
      </c>
      <c r="D64" s="13">
        <f>Параметры!$C$4*Параметры!$C$7*(1+Параметры!$C$8)^INT((A64-Параметры!$C$11-1)/12)</f>
        <v>3879026.122752001</v>
      </c>
      <c r="E64" s="13">
        <f>D64/(1+Параметры!$C$13)</f>
        <v>3232521.7689600009</v>
      </c>
      <c r="F64" s="13">
        <f t="shared" si="10"/>
        <v>646504.3537920001</v>
      </c>
      <c r="G64" s="13">
        <f>IF(AND(A64&gt;Параметры!$C$11,A64&lt;=Параметры!$C$11+3),Параметры!$C$28,0)</f>
        <v>0</v>
      </c>
      <c r="H64" s="13">
        <f t="shared" si="11"/>
        <v>646504.3537920001</v>
      </c>
      <c r="I64" s="13">
        <f>E64*Параметры!$C$16</f>
        <v>484878.26534400013</v>
      </c>
      <c r="J64" s="13">
        <f>Параметры!$C$27</f>
        <v>260416.66666666666</v>
      </c>
      <c r="K64" s="13">
        <f>MAX(0,Параметры!$C$20-Параметры!$C$27*MAX(0,A64-Параметры!$C$11-1))*Параметры!$C$15/12</f>
        <v>204340.27777777775</v>
      </c>
      <c r="L64" s="13">
        <f t="shared" si="12"/>
        <v>2282886.5591715565</v>
      </c>
      <c r="M64" s="13">
        <f>T63*Параметры!$C$10/12</f>
        <v>1018545.0582441986</v>
      </c>
      <c r="N64" s="13">
        <f t="shared" si="13"/>
        <v>1264341.5009273579</v>
      </c>
      <c r="O64" s="13">
        <f>MAX(0,N64*Параметры!$C$14)</f>
        <v>252868.3001854716</v>
      </c>
      <c r="P64" s="13">
        <f t="shared" si="14"/>
        <v>1011473.2007418864</v>
      </c>
      <c r="Q64" s="13">
        <v>0</v>
      </c>
      <c r="R64" s="13">
        <v>0</v>
      </c>
      <c r="S64" s="13">
        <f>MAX(0,MIN(Параметры!$C$26-M64,T63))</f>
        <v>223716.89554225607</v>
      </c>
      <c r="T64" s="13">
        <f t="shared" si="15"/>
        <v>81259887.763993636</v>
      </c>
      <c r="U64" s="13">
        <f t="shared" si="16"/>
        <v>401668.61807429697</v>
      </c>
      <c r="V64" s="13">
        <f t="shared" si="9"/>
        <v>-32609740.232678477</v>
      </c>
    </row>
    <row r="65" spans="1:22" x14ac:dyDescent="0.25">
      <c r="A65" s="14">
        <v>64</v>
      </c>
      <c r="B65" s="14" t="s">
        <v>126</v>
      </c>
      <c r="C65" s="15" t="s">
        <v>73</v>
      </c>
      <c r="D65" s="9">
        <f>Параметры!$C$4*Параметры!$C$7*(1+Параметры!$C$8)^INT((A65-Параметры!$C$11-1)/12)</f>
        <v>3879026.122752001</v>
      </c>
      <c r="E65" s="9">
        <f>D65/(1+Параметры!$C$13)</f>
        <v>3232521.7689600009</v>
      </c>
      <c r="F65" s="9">
        <f t="shared" si="10"/>
        <v>646504.3537920001</v>
      </c>
      <c r="G65" s="9">
        <f>IF(AND(A65&gt;Параметры!$C$11,A65&lt;=Параметры!$C$11+3),Параметры!$C$28,0)</f>
        <v>0</v>
      </c>
      <c r="H65" s="9">
        <f t="shared" si="11"/>
        <v>646504.3537920001</v>
      </c>
      <c r="I65" s="9">
        <f>E65*Параметры!$C$16</f>
        <v>484878.26534400013</v>
      </c>
      <c r="J65" s="9">
        <f>Параметры!$C$27</f>
        <v>260416.66666666666</v>
      </c>
      <c r="K65" s="9">
        <f>MAX(0,Параметры!$C$20-Параметры!$C$27*MAX(0,A65-Параметры!$C$11-1))*Параметры!$C$15/12</f>
        <v>203862.84722222222</v>
      </c>
      <c r="L65" s="9">
        <f t="shared" si="12"/>
        <v>2283363.9897271125</v>
      </c>
      <c r="M65" s="9">
        <f>T64*Параметры!$C$10/12</f>
        <v>1015748.5970499204</v>
      </c>
      <c r="N65" s="9">
        <f t="shared" si="13"/>
        <v>1267615.3926771921</v>
      </c>
      <c r="O65" s="9">
        <f>MAX(0,N65*Параметры!$C$14)</f>
        <v>253523.07853543843</v>
      </c>
      <c r="P65" s="9">
        <f t="shared" si="14"/>
        <v>1014092.3141417537</v>
      </c>
      <c r="Q65" s="9">
        <v>0</v>
      </c>
      <c r="R65" s="9">
        <v>0</v>
      </c>
      <c r="S65" s="9">
        <f>MAX(0,MIN(Параметры!$C$26-M65,T64))</f>
        <v>226513.35673653428</v>
      </c>
      <c r="T65" s="9">
        <f t="shared" si="15"/>
        <v>81033374.407257095</v>
      </c>
      <c r="U65" s="9">
        <f t="shared" si="16"/>
        <v>401491.27027988597</v>
      </c>
      <c r="V65" s="9">
        <f t="shared" si="9"/>
        <v>-32208248.962398592</v>
      </c>
    </row>
    <row r="66" spans="1:22" x14ac:dyDescent="0.25">
      <c r="A66" s="11">
        <v>65</v>
      </c>
      <c r="B66" s="11" t="s">
        <v>127</v>
      </c>
      <c r="C66" s="12" t="s">
        <v>73</v>
      </c>
      <c r="D66" s="13">
        <f>Параметры!$C$4*Параметры!$C$7*(1+Параметры!$C$8)^INT((A66-Параметры!$C$11-1)/12)</f>
        <v>3879026.122752001</v>
      </c>
      <c r="E66" s="13">
        <f>D66/(1+Параметры!$C$13)</f>
        <v>3232521.7689600009</v>
      </c>
      <c r="F66" s="13">
        <f t="shared" si="10"/>
        <v>646504.3537920001</v>
      </c>
      <c r="G66" s="13">
        <f>IF(AND(A66&gt;Параметры!$C$11,A66&lt;=Параметры!$C$11+3),Параметры!$C$28,0)</f>
        <v>0</v>
      </c>
      <c r="H66" s="13">
        <f t="shared" si="11"/>
        <v>646504.3537920001</v>
      </c>
      <c r="I66" s="13">
        <f>E66*Параметры!$C$16</f>
        <v>484878.26534400013</v>
      </c>
      <c r="J66" s="13">
        <f>Параметры!$C$27</f>
        <v>260416.66666666666</v>
      </c>
      <c r="K66" s="13">
        <f>MAX(0,Параметры!$C$20-Параметры!$C$27*MAX(0,A66-Параметры!$C$11-1))*Параметры!$C$15/12</f>
        <v>203385.41666666666</v>
      </c>
      <c r="L66" s="13">
        <f t="shared" si="12"/>
        <v>2283841.420282668</v>
      </c>
      <c r="M66" s="13">
        <f>T65*Параметры!$C$10/12</f>
        <v>1012917.1800907137</v>
      </c>
      <c r="N66" s="13">
        <f t="shared" si="13"/>
        <v>1270924.2401919542</v>
      </c>
      <c r="O66" s="13">
        <f>MAX(0,N66*Параметры!$C$14)</f>
        <v>254184.84803839086</v>
      </c>
      <c r="P66" s="13">
        <f t="shared" si="14"/>
        <v>1016739.3921535633</v>
      </c>
      <c r="Q66" s="13">
        <v>0</v>
      </c>
      <c r="R66" s="13">
        <v>0</v>
      </c>
      <c r="S66" s="13">
        <f>MAX(0,MIN(Параметры!$C$26-M66,T65))</f>
        <v>229344.77369574097</v>
      </c>
      <c r="T66" s="13">
        <f t="shared" si="15"/>
        <v>80804029.633561358</v>
      </c>
      <c r="U66" s="13">
        <f t="shared" si="16"/>
        <v>401306.93133248889</v>
      </c>
      <c r="V66" s="13">
        <f t="shared" si="9"/>
        <v>-31806942.031066105</v>
      </c>
    </row>
    <row r="67" spans="1:22" x14ac:dyDescent="0.25">
      <c r="A67" s="14">
        <v>66</v>
      </c>
      <c r="B67" s="14" t="s">
        <v>128</v>
      </c>
      <c r="C67" s="15" t="s">
        <v>73</v>
      </c>
      <c r="D67" s="9">
        <f>Параметры!$C$4*Параметры!$C$7*(1+Параметры!$C$8)^INT((A67-Параметры!$C$11-1)/12)</f>
        <v>3879026.122752001</v>
      </c>
      <c r="E67" s="9">
        <f>D67/(1+Параметры!$C$13)</f>
        <v>3232521.7689600009</v>
      </c>
      <c r="F67" s="9">
        <f t="shared" si="10"/>
        <v>646504.3537920001</v>
      </c>
      <c r="G67" s="9">
        <f>IF(AND(A67&gt;Параметры!$C$11,A67&lt;=Параметры!$C$11+3),Параметры!$C$28,0)</f>
        <v>0</v>
      </c>
      <c r="H67" s="9">
        <f t="shared" si="11"/>
        <v>646504.3537920001</v>
      </c>
      <c r="I67" s="9">
        <f>E67*Параметры!$C$16</f>
        <v>484878.26534400013</v>
      </c>
      <c r="J67" s="9">
        <f>Параметры!$C$27</f>
        <v>260416.66666666666</v>
      </c>
      <c r="K67" s="9">
        <f>MAX(0,Параметры!$C$20-Параметры!$C$27*MAX(0,A67-Параметры!$C$11-1))*Параметры!$C$15/12</f>
        <v>202907.98611111109</v>
      </c>
      <c r="L67" s="9">
        <f t="shared" si="12"/>
        <v>2284318.8508382235</v>
      </c>
      <c r="M67" s="9">
        <f>T66*Параметры!$C$10/12</f>
        <v>1010050.370419517</v>
      </c>
      <c r="N67" s="9">
        <f t="shared" si="13"/>
        <v>1274268.4804187063</v>
      </c>
      <c r="O67" s="9">
        <f>MAX(0,N67*Параметры!$C$14)</f>
        <v>254853.69608374126</v>
      </c>
      <c r="P67" s="9">
        <f t="shared" si="14"/>
        <v>1019414.7843349651</v>
      </c>
      <c r="Q67" s="9">
        <v>0</v>
      </c>
      <c r="R67" s="9">
        <v>0</v>
      </c>
      <c r="S67" s="9">
        <f>MAX(0,MIN(Параметры!$C$26-M67,T66))</f>
        <v>232211.58336693759</v>
      </c>
      <c r="T67" s="9">
        <f t="shared" si="15"/>
        <v>80571818.050194427</v>
      </c>
      <c r="U67" s="9">
        <f t="shared" si="16"/>
        <v>401115.51384269411</v>
      </c>
      <c r="V67" s="9">
        <f t="shared" ref="V67:V98" si="17">V66+U67</f>
        <v>-31405826.51722341</v>
      </c>
    </row>
    <row r="68" spans="1:22" x14ac:dyDescent="0.25">
      <c r="A68" s="11">
        <v>67</v>
      </c>
      <c r="B68" s="11" t="s">
        <v>129</v>
      </c>
      <c r="C68" s="12" t="s">
        <v>73</v>
      </c>
      <c r="D68" s="13">
        <f>Параметры!$C$4*Параметры!$C$7*(1+Параметры!$C$8)^INT((A68-Параметры!$C$11-1)/12)</f>
        <v>3879026.122752001</v>
      </c>
      <c r="E68" s="13">
        <f>D68/(1+Параметры!$C$13)</f>
        <v>3232521.7689600009</v>
      </c>
      <c r="F68" s="13">
        <f t="shared" si="10"/>
        <v>646504.3537920001</v>
      </c>
      <c r="G68" s="13">
        <f>IF(AND(A68&gt;Параметры!$C$11,A68&lt;=Параметры!$C$11+3),Параметры!$C$28,0)</f>
        <v>0</v>
      </c>
      <c r="H68" s="13">
        <f t="shared" si="11"/>
        <v>646504.3537920001</v>
      </c>
      <c r="I68" s="13">
        <f>E68*Параметры!$C$16</f>
        <v>484878.26534400013</v>
      </c>
      <c r="J68" s="13">
        <f>Параметры!$C$27</f>
        <v>260416.66666666666</v>
      </c>
      <c r="K68" s="13">
        <f>MAX(0,Параметры!$C$20-Параметры!$C$27*MAX(0,A68-Параметры!$C$11-1))*Параметры!$C$15/12</f>
        <v>202430.55555555553</v>
      </c>
      <c r="L68" s="13">
        <f t="shared" si="12"/>
        <v>2284796.281393779</v>
      </c>
      <c r="M68" s="13">
        <f>T67*Параметры!$C$10/12</f>
        <v>1007147.7256274302</v>
      </c>
      <c r="N68" s="13">
        <f t="shared" si="13"/>
        <v>1277648.5557663487</v>
      </c>
      <c r="O68" s="13">
        <f>MAX(0,N68*Параметры!$C$14)</f>
        <v>255529.71115326975</v>
      </c>
      <c r="P68" s="13">
        <f t="shared" si="14"/>
        <v>1022118.844613079</v>
      </c>
      <c r="Q68" s="13">
        <v>0</v>
      </c>
      <c r="R68" s="13">
        <v>0</v>
      </c>
      <c r="S68" s="13">
        <f>MAX(0,MIN(Параметры!$C$26-M68,T67))</f>
        <v>235114.22815902438</v>
      </c>
      <c r="T68" s="13">
        <f t="shared" si="15"/>
        <v>80336703.822035402</v>
      </c>
      <c r="U68" s="13">
        <f t="shared" si="16"/>
        <v>400916.92932872125</v>
      </c>
      <c r="V68" s="13">
        <f t="shared" si="17"/>
        <v>-31004909.587894689</v>
      </c>
    </row>
    <row r="69" spans="1:22" x14ac:dyDescent="0.25">
      <c r="A69" s="14">
        <v>68</v>
      </c>
      <c r="B69" s="14" t="s">
        <v>130</v>
      </c>
      <c r="C69" s="15" t="s">
        <v>73</v>
      </c>
      <c r="D69" s="9">
        <f>Параметры!$C$4*Параметры!$C$7*(1+Параметры!$C$8)^INT((A69-Параметры!$C$11-1)/12)</f>
        <v>3879026.122752001</v>
      </c>
      <c r="E69" s="9">
        <f>D69/(1+Параметры!$C$13)</f>
        <v>3232521.7689600009</v>
      </c>
      <c r="F69" s="9">
        <f t="shared" si="10"/>
        <v>646504.3537920001</v>
      </c>
      <c r="G69" s="9">
        <f>IF(AND(A69&gt;Параметры!$C$11,A69&lt;=Параметры!$C$11+3),Параметры!$C$28,0)</f>
        <v>0</v>
      </c>
      <c r="H69" s="9">
        <f t="shared" si="11"/>
        <v>646504.3537920001</v>
      </c>
      <c r="I69" s="9">
        <f>E69*Параметры!$C$16</f>
        <v>484878.26534400013</v>
      </c>
      <c r="J69" s="9">
        <f>Параметры!$C$27</f>
        <v>260416.66666666666</v>
      </c>
      <c r="K69" s="9">
        <f>MAX(0,Параметры!$C$20-Параметры!$C$27*MAX(0,A69-Параметры!$C$11-1))*Параметры!$C$15/12</f>
        <v>201953.125</v>
      </c>
      <c r="L69" s="9">
        <f t="shared" si="12"/>
        <v>2285273.7119493345</v>
      </c>
      <c r="M69" s="9">
        <f>T68*Параметры!$C$10/12</f>
        <v>1004208.7977754426</v>
      </c>
      <c r="N69" s="9">
        <f t="shared" si="13"/>
        <v>1281064.9141738918</v>
      </c>
      <c r="O69" s="9">
        <f>MAX(0,N69*Параметры!$C$14)</f>
        <v>256212.98283477838</v>
      </c>
      <c r="P69" s="9">
        <f t="shared" si="14"/>
        <v>1024851.9313391134</v>
      </c>
      <c r="Q69" s="9">
        <v>0</v>
      </c>
      <c r="R69" s="9">
        <v>0</v>
      </c>
      <c r="S69" s="9">
        <f>MAX(0,MIN(Параметры!$C$26-M69,T68))</f>
        <v>238053.15601101203</v>
      </c>
      <c r="T69" s="9">
        <f t="shared" si="15"/>
        <v>80098650.666024387</v>
      </c>
      <c r="U69" s="9">
        <f t="shared" si="16"/>
        <v>400711.08820276789</v>
      </c>
      <c r="V69" s="9">
        <f t="shared" si="17"/>
        <v>-30604198.499691922</v>
      </c>
    </row>
    <row r="70" spans="1:22" x14ac:dyDescent="0.25">
      <c r="A70" s="11">
        <v>69</v>
      </c>
      <c r="B70" s="11" t="s">
        <v>131</v>
      </c>
      <c r="C70" s="12" t="s">
        <v>73</v>
      </c>
      <c r="D70" s="13">
        <f>Параметры!$C$4*Параметры!$C$7*(1+Параметры!$C$8)^INT((A70-Параметры!$C$11-1)/12)</f>
        <v>3879026.122752001</v>
      </c>
      <c r="E70" s="13">
        <f>D70/(1+Параметры!$C$13)</f>
        <v>3232521.7689600009</v>
      </c>
      <c r="F70" s="13">
        <f t="shared" si="10"/>
        <v>646504.3537920001</v>
      </c>
      <c r="G70" s="13">
        <f>IF(AND(A70&gt;Параметры!$C$11,A70&lt;=Параметры!$C$11+3),Параметры!$C$28,0)</f>
        <v>0</v>
      </c>
      <c r="H70" s="13">
        <f t="shared" si="11"/>
        <v>646504.3537920001</v>
      </c>
      <c r="I70" s="13">
        <f>E70*Параметры!$C$16</f>
        <v>484878.26534400013</v>
      </c>
      <c r="J70" s="13">
        <f>Параметры!$C$27</f>
        <v>260416.66666666666</v>
      </c>
      <c r="K70" s="13">
        <f>MAX(0,Параметры!$C$20-Параметры!$C$27*MAX(0,A70-Параметры!$C$11-1))*Параметры!$C$15/12</f>
        <v>201475.69444444441</v>
      </c>
      <c r="L70" s="13">
        <f t="shared" si="12"/>
        <v>2285751.14250489</v>
      </c>
      <c r="M70" s="13">
        <f>T69*Параметры!$C$10/12</f>
        <v>1001233.1333253048</v>
      </c>
      <c r="N70" s="13">
        <f t="shared" si="13"/>
        <v>1284518.0091795851</v>
      </c>
      <c r="O70" s="13">
        <f>MAX(0,N70*Параметры!$C$14)</f>
        <v>256903.60183591704</v>
      </c>
      <c r="P70" s="13">
        <f t="shared" si="14"/>
        <v>1027614.4073436682</v>
      </c>
      <c r="Q70" s="13">
        <v>0</v>
      </c>
      <c r="R70" s="13">
        <v>0</v>
      </c>
      <c r="S70" s="13">
        <f>MAX(0,MIN(Параметры!$C$26-M70,T69))</f>
        <v>241028.82046114979</v>
      </c>
      <c r="T70" s="13">
        <f t="shared" si="15"/>
        <v>79857621.845563233</v>
      </c>
      <c r="U70" s="13">
        <f t="shared" si="16"/>
        <v>400497.89975718502</v>
      </c>
      <c r="V70" s="13">
        <f t="shared" si="17"/>
        <v>-30203700.599934738</v>
      </c>
    </row>
    <row r="71" spans="1:22" x14ac:dyDescent="0.25">
      <c r="A71" s="14">
        <v>70</v>
      </c>
      <c r="B71" s="14" t="s">
        <v>132</v>
      </c>
      <c r="C71" s="15" t="s">
        <v>73</v>
      </c>
      <c r="D71" s="9">
        <f>Параметры!$C$4*Параметры!$C$7*(1+Параметры!$C$8)^INT((A71-Параметры!$C$11-1)/12)</f>
        <v>3879026.122752001</v>
      </c>
      <c r="E71" s="9">
        <f>D71/(1+Параметры!$C$13)</f>
        <v>3232521.7689600009</v>
      </c>
      <c r="F71" s="9">
        <f t="shared" si="10"/>
        <v>646504.3537920001</v>
      </c>
      <c r="G71" s="9">
        <f>IF(AND(A71&gt;Параметры!$C$11,A71&lt;=Параметры!$C$11+3),Параметры!$C$28,0)</f>
        <v>0</v>
      </c>
      <c r="H71" s="9">
        <f t="shared" si="11"/>
        <v>646504.3537920001</v>
      </c>
      <c r="I71" s="9">
        <f>E71*Параметры!$C$16</f>
        <v>484878.26534400013</v>
      </c>
      <c r="J71" s="9">
        <f>Параметры!$C$27</f>
        <v>260416.66666666666</v>
      </c>
      <c r="K71" s="9">
        <f>MAX(0,Параметры!$C$20-Параметры!$C$27*MAX(0,A71-Параметры!$C$11-1))*Параметры!$C$15/12</f>
        <v>200998.26388888888</v>
      </c>
      <c r="L71" s="9">
        <f t="shared" si="12"/>
        <v>2286228.5730604455</v>
      </c>
      <c r="M71" s="9">
        <f>T70*Параметры!$C$10/12</f>
        <v>998220.27306954039</v>
      </c>
      <c r="N71" s="9">
        <f t="shared" si="13"/>
        <v>1288008.299990905</v>
      </c>
      <c r="O71" s="9">
        <f>MAX(0,N71*Параметры!$C$14)</f>
        <v>257601.65999818101</v>
      </c>
      <c r="P71" s="9">
        <f t="shared" si="14"/>
        <v>1030406.6399927239</v>
      </c>
      <c r="Q71" s="9">
        <v>0</v>
      </c>
      <c r="R71" s="9">
        <v>0</v>
      </c>
      <c r="S71" s="9">
        <f>MAX(0,MIN(Параметры!$C$26-M71,T70))</f>
        <v>244041.68071691424</v>
      </c>
      <c r="T71" s="9">
        <f t="shared" si="15"/>
        <v>79613580.164846316</v>
      </c>
      <c r="U71" s="9">
        <f t="shared" si="16"/>
        <v>400277.27215047635</v>
      </c>
      <c r="V71" s="9">
        <f t="shared" si="17"/>
        <v>-29803423.327784263</v>
      </c>
    </row>
    <row r="72" spans="1:22" x14ac:dyDescent="0.25">
      <c r="A72" s="11">
        <v>71</v>
      </c>
      <c r="B72" s="11" t="s">
        <v>133</v>
      </c>
      <c r="C72" s="12" t="s">
        <v>73</v>
      </c>
      <c r="D72" s="13">
        <f>Параметры!$C$4*Параметры!$C$7*(1+Параметры!$C$8)^INT((A72-Параметры!$C$11-1)/12)</f>
        <v>4189348.2125721611</v>
      </c>
      <c r="E72" s="13">
        <f>D72/(1+Параметры!$C$13)</f>
        <v>3491123.5104768011</v>
      </c>
      <c r="F72" s="13">
        <f t="shared" si="10"/>
        <v>698224.70209536003</v>
      </c>
      <c r="G72" s="13">
        <f>IF(AND(A72&gt;Параметры!$C$11,A72&lt;=Параметры!$C$11+3),Параметры!$C$28,0)</f>
        <v>0</v>
      </c>
      <c r="H72" s="13">
        <f t="shared" si="11"/>
        <v>698224.70209536003</v>
      </c>
      <c r="I72" s="13">
        <f>E72*Параметры!$C$16</f>
        <v>523668.52657152014</v>
      </c>
      <c r="J72" s="13">
        <f>Параметры!$C$27</f>
        <v>260416.66666666666</v>
      </c>
      <c r="K72" s="13">
        <f>MAX(0,Параметры!$C$20-Параметры!$C$27*MAX(0,A72-Параметры!$C$11-1))*Параметры!$C$15/12</f>
        <v>200520.83333333334</v>
      </c>
      <c r="L72" s="13">
        <f t="shared" si="12"/>
        <v>2506517.4839052809</v>
      </c>
      <c r="M72" s="13">
        <f>T71*Параметры!$C$10/12</f>
        <v>995169.75206057902</v>
      </c>
      <c r="N72" s="13">
        <f t="shared" si="13"/>
        <v>1511347.7318447018</v>
      </c>
      <c r="O72" s="13">
        <f>MAX(0,N72*Параметры!$C$14)</f>
        <v>302269.54636894038</v>
      </c>
      <c r="P72" s="13">
        <f t="shared" si="14"/>
        <v>1209078.1854757615</v>
      </c>
      <c r="Q72" s="13">
        <v>0</v>
      </c>
      <c r="R72" s="13">
        <v>0</v>
      </c>
      <c r="S72" s="13">
        <f>MAX(0,MIN(Параметры!$C$26-M72,T71))</f>
        <v>247092.20172587561</v>
      </c>
      <c r="T72" s="13">
        <f t="shared" si="15"/>
        <v>79366487.963120446</v>
      </c>
      <c r="U72" s="13">
        <f t="shared" si="16"/>
        <v>524177.94832119253</v>
      </c>
      <c r="V72" s="13">
        <f t="shared" si="17"/>
        <v>-29279245.379463069</v>
      </c>
    </row>
    <row r="73" spans="1:22" x14ac:dyDescent="0.25">
      <c r="A73" s="14">
        <v>72</v>
      </c>
      <c r="B73" s="14" t="s">
        <v>134</v>
      </c>
      <c r="C73" s="15" t="s">
        <v>73</v>
      </c>
      <c r="D73" s="9">
        <f>Параметры!$C$4*Параметры!$C$7*(1+Параметры!$C$8)^INT((A73-Параметры!$C$11-1)/12)</f>
        <v>4189348.2125721611</v>
      </c>
      <c r="E73" s="9">
        <f>D73/(1+Параметры!$C$13)</f>
        <v>3491123.5104768011</v>
      </c>
      <c r="F73" s="9">
        <f t="shared" si="10"/>
        <v>698224.70209536003</v>
      </c>
      <c r="G73" s="9">
        <f>IF(AND(A73&gt;Параметры!$C$11,A73&lt;=Параметры!$C$11+3),Параметры!$C$28,0)</f>
        <v>0</v>
      </c>
      <c r="H73" s="9">
        <f t="shared" si="11"/>
        <v>698224.70209536003</v>
      </c>
      <c r="I73" s="9">
        <f>E73*Параметры!$C$16</f>
        <v>523668.52657152014</v>
      </c>
      <c r="J73" s="9">
        <f>Параметры!$C$27</f>
        <v>260416.66666666666</v>
      </c>
      <c r="K73" s="9">
        <f>MAX(0,Параметры!$C$20-Параметры!$C$27*MAX(0,A73-Параметры!$C$11-1))*Параметры!$C$15/12</f>
        <v>200043.40277777775</v>
      </c>
      <c r="L73" s="9">
        <f t="shared" si="12"/>
        <v>2506994.9144608369</v>
      </c>
      <c r="M73" s="9">
        <f>T72*Параметры!$C$10/12</f>
        <v>992081.09953900555</v>
      </c>
      <c r="N73" s="9">
        <f t="shared" si="13"/>
        <v>1514913.8149218312</v>
      </c>
      <c r="O73" s="9">
        <f>MAX(0,N73*Параметры!$C$14)</f>
        <v>302982.76298436627</v>
      </c>
      <c r="P73" s="9">
        <f t="shared" si="14"/>
        <v>1211931.0519374651</v>
      </c>
      <c r="Q73" s="9">
        <v>0</v>
      </c>
      <c r="R73" s="9">
        <v>0</v>
      </c>
      <c r="S73" s="9">
        <f>MAX(0,MIN(Параметры!$C$26-M73,T72))</f>
        <v>250180.85424744908</v>
      </c>
      <c r="T73" s="9">
        <f t="shared" si="15"/>
        <v>79116307.108872995</v>
      </c>
      <c r="U73" s="9">
        <f t="shared" si="16"/>
        <v>523942.16226132261</v>
      </c>
      <c r="V73" s="9">
        <f t="shared" si="17"/>
        <v>-28755303.217201747</v>
      </c>
    </row>
    <row r="74" spans="1:22" x14ac:dyDescent="0.25">
      <c r="A74" s="11">
        <v>73</v>
      </c>
      <c r="B74" s="11" t="s">
        <v>135</v>
      </c>
      <c r="C74" s="12" t="s">
        <v>73</v>
      </c>
      <c r="D74" s="13">
        <f>Параметры!$C$4*Параметры!$C$7*(1+Параметры!$C$8)^INT((A74-Параметры!$C$11-1)/12)</f>
        <v>4189348.2125721611</v>
      </c>
      <c r="E74" s="13">
        <f>D74/(1+Параметры!$C$13)</f>
        <v>3491123.5104768011</v>
      </c>
      <c r="F74" s="13">
        <f t="shared" si="10"/>
        <v>698224.70209536003</v>
      </c>
      <c r="G74" s="13">
        <f>IF(AND(A74&gt;Параметры!$C$11,A74&lt;=Параметры!$C$11+3),Параметры!$C$28,0)</f>
        <v>0</v>
      </c>
      <c r="H74" s="13">
        <f t="shared" si="11"/>
        <v>698224.70209536003</v>
      </c>
      <c r="I74" s="13">
        <f>E74*Параметры!$C$16</f>
        <v>523668.52657152014</v>
      </c>
      <c r="J74" s="13">
        <f>Параметры!$C$27</f>
        <v>260416.66666666666</v>
      </c>
      <c r="K74" s="13">
        <f>MAX(0,Параметры!$C$20-Параметры!$C$27*MAX(0,A74-Параметры!$C$11-1))*Параметры!$C$15/12</f>
        <v>199565.97222222222</v>
      </c>
      <c r="L74" s="13">
        <f t="shared" si="12"/>
        <v>2507472.3450163924</v>
      </c>
      <c r="M74" s="13">
        <f>T73*Параметры!$C$10/12</f>
        <v>988953.83886091236</v>
      </c>
      <c r="N74" s="13">
        <f t="shared" si="13"/>
        <v>1518518.5061554802</v>
      </c>
      <c r="O74" s="13">
        <f>MAX(0,N74*Параметры!$C$14)</f>
        <v>303703.70123109606</v>
      </c>
      <c r="P74" s="13">
        <f t="shared" si="14"/>
        <v>1214814.8049243842</v>
      </c>
      <c r="Q74" s="13">
        <v>0</v>
      </c>
      <c r="R74" s="13">
        <v>0</v>
      </c>
      <c r="S74" s="13">
        <f>MAX(0,MIN(Параметры!$C$26-M74,T73))</f>
        <v>253308.11492554226</v>
      </c>
      <c r="T74" s="13">
        <f t="shared" si="15"/>
        <v>78862998.993947446</v>
      </c>
      <c r="U74" s="13">
        <f t="shared" si="16"/>
        <v>523698.65457014879</v>
      </c>
      <c r="V74" s="13">
        <f t="shared" si="17"/>
        <v>-28231604.5626316</v>
      </c>
    </row>
    <row r="75" spans="1:22" x14ac:dyDescent="0.25">
      <c r="A75" s="14">
        <v>74</v>
      </c>
      <c r="B75" s="14" t="s">
        <v>136</v>
      </c>
      <c r="C75" s="15" t="s">
        <v>73</v>
      </c>
      <c r="D75" s="9">
        <f>Параметры!$C$4*Параметры!$C$7*(1+Параметры!$C$8)^INT((A75-Параметры!$C$11-1)/12)</f>
        <v>4189348.2125721611</v>
      </c>
      <c r="E75" s="9">
        <f>D75/(1+Параметры!$C$13)</f>
        <v>3491123.5104768011</v>
      </c>
      <c r="F75" s="9">
        <f t="shared" si="10"/>
        <v>698224.70209536003</v>
      </c>
      <c r="G75" s="9">
        <f>IF(AND(A75&gt;Параметры!$C$11,A75&lt;=Параметры!$C$11+3),Параметры!$C$28,0)</f>
        <v>0</v>
      </c>
      <c r="H75" s="9">
        <f t="shared" si="11"/>
        <v>698224.70209536003</v>
      </c>
      <c r="I75" s="9">
        <f>E75*Параметры!$C$16</f>
        <v>523668.52657152014</v>
      </c>
      <c r="J75" s="9">
        <f>Параметры!$C$27</f>
        <v>260416.66666666666</v>
      </c>
      <c r="K75" s="9">
        <f>MAX(0,Параметры!$C$20-Параметры!$C$27*MAX(0,A75-Параметры!$C$11-1))*Параметры!$C$15/12</f>
        <v>199088.54166666666</v>
      </c>
      <c r="L75" s="9">
        <f t="shared" si="12"/>
        <v>2507949.7755719479</v>
      </c>
      <c r="M75" s="9">
        <f>T74*Параметры!$C$10/12</f>
        <v>985787.48742434301</v>
      </c>
      <c r="N75" s="9">
        <f t="shared" si="13"/>
        <v>1522162.288147605</v>
      </c>
      <c r="O75" s="9">
        <f>MAX(0,N75*Параметры!$C$14)</f>
        <v>304432.45762952103</v>
      </c>
      <c r="P75" s="9">
        <f t="shared" si="14"/>
        <v>1217729.8305180841</v>
      </c>
      <c r="Q75" s="9">
        <v>0</v>
      </c>
      <c r="R75" s="9">
        <v>0</v>
      </c>
      <c r="S75" s="9">
        <f>MAX(0,MIN(Параметры!$C$26-M75,T74))</f>
        <v>256474.46636211162</v>
      </c>
      <c r="T75" s="9">
        <f t="shared" si="15"/>
        <v>78606524.527585328</v>
      </c>
      <c r="U75" s="9">
        <f t="shared" si="16"/>
        <v>523447.32872727932</v>
      </c>
      <c r="V75" s="9">
        <f t="shared" si="17"/>
        <v>-27708157.233904321</v>
      </c>
    </row>
    <row r="76" spans="1:22" x14ac:dyDescent="0.25">
      <c r="A76" s="11">
        <v>75</v>
      </c>
      <c r="B76" s="11" t="s">
        <v>137</v>
      </c>
      <c r="C76" s="12" t="s">
        <v>73</v>
      </c>
      <c r="D76" s="13">
        <f>Параметры!$C$4*Параметры!$C$7*(1+Параметры!$C$8)^INT((A76-Параметры!$C$11-1)/12)</f>
        <v>4189348.2125721611</v>
      </c>
      <c r="E76" s="13">
        <f>D76/(1+Параметры!$C$13)</f>
        <v>3491123.5104768011</v>
      </c>
      <c r="F76" s="13">
        <f t="shared" ref="F76:F107" si="18">D76-E76</f>
        <v>698224.70209536003</v>
      </c>
      <c r="G76" s="13">
        <f>IF(AND(A76&gt;Параметры!$C$11,A76&lt;=Параметры!$C$11+3),Параметры!$C$28,0)</f>
        <v>0</v>
      </c>
      <c r="H76" s="13">
        <f t="shared" ref="H76:H107" si="19">F76-G76</f>
        <v>698224.70209536003</v>
      </c>
      <c r="I76" s="13">
        <f>E76*Параметры!$C$16</f>
        <v>523668.52657152014</v>
      </c>
      <c r="J76" s="13">
        <f>Параметры!$C$27</f>
        <v>260416.66666666666</v>
      </c>
      <c r="K76" s="13">
        <f>MAX(0,Параметры!$C$20-Параметры!$C$27*MAX(0,A76-Параметры!$C$11-1))*Параметры!$C$15/12</f>
        <v>198611.11111111109</v>
      </c>
      <c r="L76" s="13">
        <f t="shared" ref="L76:L107" si="20">E76-I76-J76-K76</f>
        <v>2508427.2061275034</v>
      </c>
      <c r="M76" s="13">
        <f>T75*Параметры!$C$10/12</f>
        <v>982581.5565948165</v>
      </c>
      <c r="N76" s="13">
        <f t="shared" ref="N76:N107" si="21">L76-M76</f>
        <v>1525845.6495326869</v>
      </c>
      <c r="O76" s="13">
        <f>MAX(0,N76*Параметры!$C$14)</f>
        <v>305169.12990653742</v>
      </c>
      <c r="P76" s="13">
        <f t="shared" ref="P76:P107" si="22">N76-O76</f>
        <v>1220676.5196261494</v>
      </c>
      <c r="Q76" s="13">
        <v>0</v>
      </c>
      <c r="R76" s="13">
        <v>0</v>
      </c>
      <c r="S76" s="13">
        <f>MAX(0,MIN(Параметры!$C$26-M76,T75))</f>
        <v>259680.39719163813</v>
      </c>
      <c r="T76" s="13">
        <f t="shared" ref="T76:T107" si="23">MAX(0,T75-S76)</f>
        <v>78346844.130393684</v>
      </c>
      <c r="U76" s="13">
        <f t="shared" ref="U76:U107" si="24">P76+J76-S76-H76</f>
        <v>523188.08700581803</v>
      </c>
      <c r="V76" s="13">
        <f t="shared" si="17"/>
        <v>-27184969.146898504</v>
      </c>
    </row>
    <row r="77" spans="1:22" x14ac:dyDescent="0.25">
      <c r="A77" s="14">
        <v>76</v>
      </c>
      <c r="B77" s="14" t="s">
        <v>138</v>
      </c>
      <c r="C77" s="15" t="s">
        <v>73</v>
      </c>
      <c r="D77" s="9">
        <f>Параметры!$C$4*Параметры!$C$7*(1+Параметры!$C$8)^INT((A77-Параметры!$C$11-1)/12)</f>
        <v>4189348.2125721611</v>
      </c>
      <c r="E77" s="9">
        <f>D77/(1+Параметры!$C$13)</f>
        <v>3491123.5104768011</v>
      </c>
      <c r="F77" s="9">
        <f t="shared" si="18"/>
        <v>698224.70209536003</v>
      </c>
      <c r="G77" s="9">
        <f>IF(AND(A77&gt;Параметры!$C$11,A77&lt;=Параметры!$C$11+3),Параметры!$C$28,0)</f>
        <v>0</v>
      </c>
      <c r="H77" s="9">
        <f t="shared" si="19"/>
        <v>698224.70209536003</v>
      </c>
      <c r="I77" s="9">
        <f>E77*Параметры!$C$16</f>
        <v>523668.52657152014</v>
      </c>
      <c r="J77" s="9">
        <f>Параметры!$C$27</f>
        <v>260416.66666666666</v>
      </c>
      <c r="K77" s="9">
        <f>MAX(0,Параметры!$C$20-Параметры!$C$27*MAX(0,A77-Параметры!$C$11-1))*Параметры!$C$15/12</f>
        <v>198133.68055555553</v>
      </c>
      <c r="L77" s="9">
        <f t="shared" si="20"/>
        <v>2508904.6366830589</v>
      </c>
      <c r="M77" s="9">
        <f>T76*Параметры!$C$10/12</f>
        <v>979335.55162992096</v>
      </c>
      <c r="N77" s="9">
        <f t="shared" si="21"/>
        <v>1529569.085053138</v>
      </c>
      <c r="O77" s="9">
        <f>MAX(0,N77*Параметры!$C$14)</f>
        <v>305913.81701062759</v>
      </c>
      <c r="P77" s="9">
        <f t="shared" si="22"/>
        <v>1223655.2680425104</v>
      </c>
      <c r="Q77" s="9">
        <v>0</v>
      </c>
      <c r="R77" s="9">
        <v>0</v>
      </c>
      <c r="S77" s="9">
        <f>MAX(0,MIN(Параметры!$C$26-M77,T76))</f>
        <v>262926.40215653367</v>
      </c>
      <c r="T77" s="9">
        <f t="shared" si="23"/>
        <v>78083917.728237152</v>
      </c>
      <c r="U77" s="9">
        <f t="shared" si="24"/>
        <v>522920.83045728342</v>
      </c>
      <c r="V77" s="9">
        <f t="shared" si="17"/>
        <v>-26662048.316441219</v>
      </c>
    </row>
    <row r="78" spans="1:22" x14ac:dyDescent="0.25">
      <c r="A78" s="11">
        <v>77</v>
      </c>
      <c r="B78" s="11" t="s">
        <v>139</v>
      </c>
      <c r="C78" s="12" t="s">
        <v>73</v>
      </c>
      <c r="D78" s="13">
        <f>Параметры!$C$4*Параметры!$C$7*(1+Параметры!$C$8)^INT((A78-Параметры!$C$11-1)/12)</f>
        <v>4189348.2125721611</v>
      </c>
      <c r="E78" s="13">
        <f>D78/(1+Параметры!$C$13)</f>
        <v>3491123.5104768011</v>
      </c>
      <c r="F78" s="13">
        <f t="shared" si="18"/>
        <v>698224.70209536003</v>
      </c>
      <c r="G78" s="13">
        <f>IF(AND(A78&gt;Параметры!$C$11,A78&lt;=Параметры!$C$11+3),Параметры!$C$28,0)</f>
        <v>0</v>
      </c>
      <c r="H78" s="13">
        <f t="shared" si="19"/>
        <v>698224.70209536003</v>
      </c>
      <c r="I78" s="13">
        <f>E78*Параметры!$C$16</f>
        <v>523668.52657152014</v>
      </c>
      <c r="J78" s="13">
        <f>Параметры!$C$27</f>
        <v>260416.66666666666</v>
      </c>
      <c r="K78" s="13">
        <f>MAX(0,Параметры!$C$20-Параметры!$C$27*MAX(0,A78-Параметры!$C$11-1))*Параметры!$C$15/12</f>
        <v>197656.25</v>
      </c>
      <c r="L78" s="13">
        <f t="shared" si="20"/>
        <v>2509382.0672386144</v>
      </c>
      <c r="M78" s="13">
        <f>T77*Параметры!$C$10/12</f>
        <v>976048.97160296433</v>
      </c>
      <c r="N78" s="13">
        <f t="shared" si="21"/>
        <v>1533333.0956356502</v>
      </c>
      <c r="O78" s="13">
        <f>MAX(0,N78*Параметры!$C$14)</f>
        <v>306666.61912713008</v>
      </c>
      <c r="P78" s="13">
        <f t="shared" si="22"/>
        <v>1226666.4765085201</v>
      </c>
      <c r="Q78" s="13">
        <v>0</v>
      </c>
      <c r="R78" s="13">
        <v>0</v>
      </c>
      <c r="S78" s="13">
        <f>MAX(0,MIN(Параметры!$C$26-M78,T77))</f>
        <v>266212.9821834903</v>
      </c>
      <c r="T78" s="13">
        <f t="shared" si="23"/>
        <v>77817704.746053666</v>
      </c>
      <c r="U78" s="13">
        <f t="shared" si="24"/>
        <v>522645.45889633661</v>
      </c>
      <c r="V78" s="13">
        <f t="shared" si="17"/>
        <v>-26139402.857544884</v>
      </c>
    </row>
    <row r="79" spans="1:22" x14ac:dyDescent="0.25">
      <c r="A79" s="14">
        <v>78</v>
      </c>
      <c r="B79" s="14" t="s">
        <v>140</v>
      </c>
      <c r="C79" s="15" t="s">
        <v>73</v>
      </c>
      <c r="D79" s="9">
        <f>Параметры!$C$4*Параметры!$C$7*(1+Параметры!$C$8)^INT((A79-Параметры!$C$11-1)/12)</f>
        <v>4189348.2125721611</v>
      </c>
      <c r="E79" s="9">
        <f>D79/(1+Параметры!$C$13)</f>
        <v>3491123.5104768011</v>
      </c>
      <c r="F79" s="9">
        <f t="shared" si="18"/>
        <v>698224.70209536003</v>
      </c>
      <c r="G79" s="9">
        <f>IF(AND(A79&gt;Параметры!$C$11,A79&lt;=Параметры!$C$11+3),Параметры!$C$28,0)</f>
        <v>0</v>
      </c>
      <c r="H79" s="9">
        <f t="shared" si="19"/>
        <v>698224.70209536003</v>
      </c>
      <c r="I79" s="9">
        <f>E79*Параметры!$C$16</f>
        <v>523668.52657152014</v>
      </c>
      <c r="J79" s="9">
        <f>Параметры!$C$27</f>
        <v>260416.66666666666</v>
      </c>
      <c r="K79" s="9">
        <f>MAX(0,Параметры!$C$20-Параметры!$C$27*MAX(0,A79-Параметры!$C$11-1))*Параметры!$C$15/12</f>
        <v>197178.81944444447</v>
      </c>
      <c r="L79" s="9">
        <f t="shared" si="20"/>
        <v>2509859.4977941699</v>
      </c>
      <c r="M79" s="9">
        <f>T78*Параметры!$C$10/12</f>
        <v>972721.30932567082</v>
      </c>
      <c r="N79" s="9">
        <f t="shared" si="21"/>
        <v>1537138.1884684991</v>
      </c>
      <c r="O79" s="9">
        <f>MAX(0,N79*Параметры!$C$14)</f>
        <v>307427.63769369986</v>
      </c>
      <c r="P79" s="9">
        <f t="shared" si="22"/>
        <v>1229710.5507747992</v>
      </c>
      <c r="Q79" s="9">
        <v>0</v>
      </c>
      <c r="R79" s="9">
        <v>0</v>
      </c>
      <c r="S79" s="9">
        <f>MAX(0,MIN(Параметры!$C$26-M79,T78))</f>
        <v>269540.64446078381</v>
      </c>
      <c r="T79" s="9">
        <f t="shared" si="23"/>
        <v>77548164.101592883</v>
      </c>
      <c r="U79" s="9">
        <f t="shared" si="24"/>
        <v>522361.8708853221</v>
      </c>
      <c r="V79" s="9">
        <f t="shared" si="17"/>
        <v>-25617040.98665956</v>
      </c>
    </row>
    <row r="80" spans="1:22" x14ac:dyDescent="0.25">
      <c r="A80" s="11">
        <v>79</v>
      </c>
      <c r="B80" s="11" t="s">
        <v>141</v>
      </c>
      <c r="C80" s="12" t="s">
        <v>73</v>
      </c>
      <c r="D80" s="13">
        <f>Параметры!$C$4*Параметры!$C$7*(1+Параметры!$C$8)^INT((A80-Параметры!$C$11-1)/12)</f>
        <v>4189348.2125721611</v>
      </c>
      <c r="E80" s="13">
        <f>D80/(1+Параметры!$C$13)</f>
        <v>3491123.5104768011</v>
      </c>
      <c r="F80" s="13">
        <f t="shared" si="18"/>
        <v>698224.70209536003</v>
      </c>
      <c r="G80" s="13">
        <f>IF(AND(A80&gt;Параметры!$C$11,A80&lt;=Параметры!$C$11+3),Параметры!$C$28,0)</f>
        <v>0</v>
      </c>
      <c r="H80" s="13">
        <f t="shared" si="19"/>
        <v>698224.70209536003</v>
      </c>
      <c r="I80" s="13">
        <f>E80*Параметры!$C$16</f>
        <v>523668.52657152014</v>
      </c>
      <c r="J80" s="13">
        <f>Параметры!$C$27</f>
        <v>260416.66666666666</v>
      </c>
      <c r="K80" s="13">
        <f>MAX(0,Параметры!$C$20-Параметры!$C$27*MAX(0,A80-Параметры!$C$11-1))*Параметры!$C$15/12</f>
        <v>196701.38888888888</v>
      </c>
      <c r="L80" s="13">
        <f t="shared" si="20"/>
        <v>2510336.9283497254</v>
      </c>
      <c r="M80" s="13">
        <f>T79*Параметры!$C$10/12</f>
        <v>969352.05126991111</v>
      </c>
      <c r="N80" s="13">
        <f t="shared" si="21"/>
        <v>1540984.8770798142</v>
      </c>
      <c r="O80" s="13">
        <f>MAX(0,N80*Параметры!$C$14)</f>
        <v>308196.97541596286</v>
      </c>
      <c r="P80" s="13">
        <f t="shared" si="22"/>
        <v>1232787.9016638515</v>
      </c>
      <c r="Q80" s="13">
        <v>0</v>
      </c>
      <c r="R80" s="13">
        <v>0</v>
      </c>
      <c r="S80" s="13">
        <f>MAX(0,MIN(Параметры!$C$26-M80,T79))</f>
        <v>272909.90251654352</v>
      </c>
      <c r="T80" s="13">
        <f t="shared" si="23"/>
        <v>77275254.19907634</v>
      </c>
      <c r="U80" s="13">
        <f t="shared" si="24"/>
        <v>522069.96371861454</v>
      </c>
      <c r="V80" s="13">
        <f t="shared" si="17"/>
        <v>-25094971.022940945</v>
      </c>
    </row>
    <row r="81" spans="1:22" x14ac:dyDescent="0.25">
      <c r="A81" s="14">
        <v>80</v>
      </c>
      <c r="B81" s="14" t="s">
        <v>142</v>
      </c>
      <c r="C81" s="15" t="s">
        <v>73</v>
      </c>
      <c r="D81" s="9">
        <f>Параметры!$C$4*Параметры!$C$7*(1+Параметры!$C$8)^INT((A81-Параметры!$C$11-1)/12)</f>
        <v>4189348.2125721611</v>
      </c>
      <c r="E81" s="9">
        <f>D81/(1+Параметры!$C$13)</f>
        <v>3491123.5104768011</v>
      </c>
      <c r="F81" s="9">
        <f t="shared" si="18"/>
        <v>698224.70209536003</v>
      </c>
      <c r="G81" s="9">
        <f>IF(AND(A81&gt;Параметры!$C$11,A81&lt;=Параметры!$C$11+3),Параметры!$C$28,0)</f>
        <v>0</v>
      </c>
      <c r="H81" s="9">
        <f t="shared" si="19"/>
        <v>698224.70209536003</v>
      </c>
      <c r="I81" s="9">
        <f>E81*Параметры!$C$16</f>
        <v>523668.52657152014</v>
      </c>
      <c r="J81" s="9">
        <f>Параметры!$C$27</f>
        <v>260416.66666666666</v>
      </c>
      <c r="K81" s="9">
        <f>MAX(0,Параметры!$C$20-Параметры!$C$27*MAX(0,A81-Параметры!$C$11-1))*Параметры!$C$15/12</f>
        <v>196223.95833333334</v>
      </c>
      <c r="L81" s="9">
        <f t="shared" si="20"/>
        <v>2510814.3589052809</v>
      </c>
      <c r="M81" s="9">
        <f>T80*Параметры!$C$10/12</f>
        <v>965940.67748845415</v>
      </c>
      <c r="N81" s="9">
        <f t="shared" si="21"/>
        <v>1544873.6814168268</v>
      </c>
      <c r="O81" s="9">
        <f>MAX(0,N81*Параметры!$C$14)</f>
        <v>308974.73628336535</v>
      </c>
      <c r="P81" s="9">
        <f t="shared" si="22"/>
        <v>1235898.9451334614</v>
      </c>
      <c r="Q81" s="9">
        <v>0</v>
      </c>
      <c r="R81" s="9">
        <v>0</v>
      </c>
      <c r="S81" s="9">
        <f>MAX(0,MIN(Параметры!$C$26-M81,T80))</f>
        <v>276321.27629800048</v>
      </c>
      <c r="T81" s="9">
        <f t="shared" si="23"/>
        <v>76998932.922778338</v>
      </c>
      <c r="U81" s="9">
        <f t="shared" si="24"/>
        <v>521769.63340676762</v>
      </c>
      <c r="V81" s="9">
        <f t="shared" si="17"/>
        <v>-24573201.389534175</v>
      </c>
    </row>
    <row r="82" spans="1:22" x14ac:dyDescent="0.25">
      <c r="A82" s="11">
        <v>81</v>
      </c>
      <c r="B82" s="11" t="s">
        <v>143</v>
      </c>
      <c r="C82" s="12" t="s">
        <v>73</v>
      </c>
      <c r="D82" s="13">
        <f>Параметры!$C$4*Параметры!$C$7*(1+Параметры!$C$8)^INT((A82-Параметры!$C$11-1)/12)</f>
        <v>4189348.2125721611</v>
      </c>
      <c r="E82" s="13">
        <f>D82/(1+Параметры!$C$13)</f>
        <v>3491123.5104768011</v>
      </c>
      <c r="F82" s="13">
        <f t="shared" si="18"/>
        <v>698224.70209536003</v>
      </c>
      <c r="G82" s="13">
        <f>IF(AND(A82&gt;Параметры!$C$11,A82&lt;=Параметры!$C$11+3),Параметры!$C$28,0)</f>
        <v>0</v>
      </c>
      <c r="H82" s="13">
        <f t="shared" si="19"/>
        <v>698224.70209536003</v>
      </c>
      <c r="I82" s="13">
        <f>E82*Параметры!$C$16</f>
        <v>523668.52657152014</v>
      </c>
      <c r="J82" s="13">
        <f>Параметры!$C$27</f>
        <v>260416.66666666666</v>
      </c>
      <c r="K82" s="13">
        <f>MAX(0,Параметры!$C$20-Параметры!$C$27*MAX(0,A82-Параметры!$C$11-1))*Параметры!$C$15/12</f>
        <v>195746.52777777778</v>
      </c>
      <c r="L82" s="13">
        <f t="shared" si="20"/>
        <v>2511291.7894608364</v>
      </c>
      <c r="M82" s="13">
        <f>T81*Параметры!$C$10/12</f>
        <v>962486.6615347293</v>
      </c>
      <c r="N82" s="13">
        <f t="shared" si="21"/>
        <v>1548805.127926107</v>
      </c>
      <c r="O82" s="13">
        <f>MAX(0,N82*Параметры!$C$14)</f>
        <v>309761.02558522142</v>
      </c>
      <c r="P82" s="13">
        <f t="shared" si="22"/>
        <v>1239044.1023408857</v>
      </c>
      <c r="Q82" s="13">
        <v>0</v>
      </c>
      <c r="R82" s="13">
        <v>0</v>
      </c>
      <c r="S82" s="13">
        <f>MAX(0,MIN(Параметры!$C$26-M82,T81))</f>
        <v>279775.29225172533</v>
      </c>
      <c r="T82" s="13">
        <f t="shared" si="23"/>
        <v>76719157.630526617</v>
      </c>
      <c r="U82" s="13">
        <f t="shared" si="24"/>
        <v>521460.77466046717</v>
      </c>
      <c r="V82" s="13">
        <f t="shared" si="17"/>
        <v>-24051740.614873707</v>
      </c>
    </row>
    <row r="83" spans="1:22" x14ac:dyDescent="0.25">
      <c r="A83" s="14">
        <v>82</v>
      </c>
      <c r="B83" s="14" t="s">
        <v>144</v>
      </c>
      <c r="C83" s="15" t="s">
        <v>73</v>
      </c>
      <c r="D83" s="9">
        <f>Параметры!$C$4*Параметры!$C$7*(1+Параметры!$C$8)^INT((A83-Параметры!$C$11-1)/12)</f>
        <v>4189348.2125721611</v>
      </c>
      <c r="E83" s="9">
        <f>D83/(1+Параметры!$C$13)</f>
        <v>3491123.5104768011</v>
      </c>
      <c r="F83" s="9">
        <f t="shared" si="18"/>
        <v>698224.70209536003</v>
      </c>
      <c r="G83" s="9">
        <f>IF(AND(A83&gt;Параметры!$C$11,A83&lt;=Параметры!$C$11+3),Параметры!$C$28,0)</f>
        <v>0</v>
      </c>
      <c r="H83" s="9">
        <f t="shared" si="19"/>
        <v>698224.70209536003</v>
      </c>
      <c r="I83" s="9">
        <f>E83*Параметры!$C$16</f>
        <v>523668.52657152014</v>
      </c>
      <c r="J83" s="9">
        <f>Параметры!$C$27</f>
        <v>260416.66666666666</v>
      </c>
      <c r="K83" s="9">
        <f>MAX(0,Параметры!$C$20-Параметры!$C$27*MAX(0,A83-Параметры!$C$11-1))*Параметры!$C$15/12</f>
        <v>195269.09722222222</v>
      </c>
      <c r="L83" s="9">
        <f t="shared" si="20"/>
        <v>2511769.2200163924</v>
      </c>
      <c r="M83" s="9">
        <f>T82*Параметры!$C$10/12</f>
        <v>958989.47038158262</v>
      </c>
      <c r="N83" s="9">
        <f t="shared" si="21"/>
        <v>1552779.7496348098</v>
      </c>
      <c r="O83" s="9">
        <f>MAX(0,N83*Параметры!$C$14)</f>
        <v>310555.94992696197</v>
      </c>
      <c r="P83" s="9">
        <f t="shared" si="22"/>
        <v>1242223.7997078479</v>
      </c>
      <c r="Q83" s="9">
        <v>0</v>
      </c>
      <c r="R83" s="9">
        <v>0</v>
      </c>
      <c r="S83" s="9">
        <f>MAX(0,MIN(Параметры!$C$26-M83,T82))</f>
        <v>283272.48340487201</v>
      </c>
      <c r="T83" s="9">
        <f t="shared" si="23"/>
        <v>76435885.147121742</v>
      </c>
      <c r="U83" s="9">
        <f t="shared" si="24"/>
        <v>521143.28087428259</v>
      </c>
      <c r="V83" s="9">
        <f t="shared" si="17"/>
        <v>-23530597.333999425</v>
      </c>
    </row>
    <row r="84" spans="1:22" x14ac:dyDescent="0.25">
      <c r="A84" s="11">
        <v>83</v>
      </c>
      <c r="B84" s="11" t="s">
        <v>145</v>
      </c>
      <c r="C84" s="12" t="s">
        <v>73</v>
      </c>
      <c r="D84" s="13">
        <f>Параметры!$C$4*Параметры!$C$7*(1+Параметры!$C$8)^INT((A84-Параметры!$C$11-1)/12)</f>
        <v>4524496.0695779342</v>
      </c>
      <c r="E84" s="13">
        <f>D84/(1+Параметры!$C$13)</f>
        <v>3770413.3913149452</v>
      </c>
      <c r="F84" s="13">
        <f t="shared" si="18"/>
        <v>754082.67826298904</v>
      </c>
      <c r="G84" s="13">
        <f>IF(AND(A84&gt;Параметры!$C$11,A84&lt;=Параметры!$C$11+3),Параметры!$C$28,0)</f>
        <v>0</v>
      </c>
      <c r="H84" s="13">
        <f t="shared" si="19"/>
        <v>754082.67826298904</v>
      </c>
      <c r="I84" s="13">
        <f>E84*Параметры!$C$16</f>
        <v>565562.00869724178</v>
      </c>
      <c r="J84" s="13">
        <f>Параметры!$C$27</f>
        <v>260416.66666666666</v>
      </c>
      <c r="K84" s="13">
        <f>MAX(0,Параметры!$C$20-Параметры!$C$27*MAX(0,A84-Параметры!$C$11-1))*Параметры!$C$15/12</f>
        <v>194791.66666666666</v>
      </c>
      <c r="L84" s="13">
        <f t="shared" si="20"/>
        <v>2749643.0492843706</v>
      </c>
      <c r="M84" s="13">
        <f>T83*Параметры!$C$10/12</f>
        <v>955448.56433902169</v>
      </c>
      <c r="N84" s="13">
        <f t="shared" si="21"/>
        <v>1794194.4849453489</v>
      </c>
      <c r="O84" s="13">
        <f>MAX(0,N84*Параметры!$C$14)</f>
        <v>358838.89698906982</v>
      </c>
      <c r="P84" s="13">
        <f t="shared" si="22"/>
        <v>1435355.5879562791</v>
      </c>
      <c r="Q84" s="13">
        <v>0</v>
      </c>
      <c r="R84" s="13">
        <v>0</v>
      </c>
      <c r="S84" s="13">
        <f>MAX(0,MIN(Параметры!$C$26-M84,T83))</f>
        <v>286813.38944743294</v>
      </c>
      <c r="T84" s="13">
        <f t="shared" si="23"/>
        <v>76149071.757674307</v>
      </c>
      <c r="U84" s="13">
        <f t="shared" si="24"/>
        <v>654876.18691252382</v>
      </c>
      <c r="V84" s="13">
        <f t="shared" si="17"/>
        <v>-22875721.1470869</v>
      </c>
    </row>
    <row r="85" spans="1:22" x14ac:dyDescent="0.25">
      <c r="A85" s="14">
        <v>84</v>
      </c>
      <c r="B85" s="14" t="s">
        <v>146</v>
      </c>
      <c r="C85" s="15" t="s">
        <v>73</v>
      </c>
      <c r="D85" s="9">
        <f>Параметры!$C$4*Параметры!$C$7*(1+Параметры!$C$8)^INT((A85-Параметры!$C$11-1)/12)</f>
        <v>4524496.0695779342</v>
      </c>
      <c r="E85" s="9">
        <f>D85/(1+Параметры!$C$13)</f>
        <v>3770413.3913149452</v>
      </c>
      <c r="F85" s="9">
        <f t="shared" si="18"/>
        <v>754082.67826298904</v>
      </c>
      <c r="G85" s="9">
        <f>IF(AND(A85&gt;Параметры!$C$11,A85&lt;=Параметры!$C$11+3),Параметры!$C$28,0)</f>
        <v>0</v>
      </c>
      <c r="H85" s="9">
        <f t="shared" si="19"/>
        <v>754082.67826298904</v>
      </c>
      <c r="I85" s="9">
        <f>E85*Параметры!$C$16</f>
        <v>565562.00869724178</v>
      </c>
      <c r="J85" s="9">
        <f>Параметры!$C$27</f>
        <v>260416.66666666666</v>
      </c>
      <c r="K85" s="9">
        <f>MAX(0,Параметры!$C$20-Параметры!$C$27*MAX(0,A85-Параметры!$C$11-1))*Параметры!$C$15/12</f>
        <v>194314.23611111112</v>
      </c>
      <c r="L85" s="9">
        <f t="shared" si="20"/>
        <v>2750120.4798399261</v>
      </c>
      <c r="M85" s="9">
        <f>T84*Параметры!$C$10/12</f>
        <v>951863.39697092876</v>
      </c>
      <c r="N85" s="9">
        <f t="shared" si="21"/>
        <v>1798257.0828689975</v>
      </c>
      <c r="O85" s="9">
        <f>MAX(0,N85*Параметры!$C$14)</f>
        <v>359651.41657379951</v>
      </c>
      <c r="P85" s="9">
        <f t="shared" si="22"/>
        <v>1438605.666295198</v>
      </c>
      <c r="Q85" s="9">
        <v>0</v>
      </c>
      <c r="R85" s="9">
        <v>0</v>
      </c>
      <c r="S85" s="9">
        <f>MAX(0,MIN(Параметры!$C$26-M85,T84))</f>
        <v>290398.55681552587</v>
      </c>
      <c r="T85" s="9">
        <f t="shared" si="23"/>
        <v>75858673.200858787</v>
      </c>
      <c r="U85" s="9">
        <f t="shared" si="24"/>
        <v>654541.09788334975</v>
      </c>
      <c r="V85" s="9">
        <f t="shared" si="17"/>
        <v>-22221180.049203549</v>
      </c>
    </row>
    <row r="86" spans="1:22" x14ac:dyDescent="0.25">
      <c r="A86" s="11">
        <v>85</v>
      </c>
      <c r="B86" s="11" t="s">
        <v>147</v>
      </c>
      <c r="C86" s="12" t="s">
        <v>73</v>
      </c>
      <c r="D86" s="13">
        <f>Параметры!$C$4*Параметры!$C$7*(1+Параметры!$C$8)^INT((A86-Параметры!$C$11-1)/12)</f>
        <v>4524496.0695779342</v>
      </c>
      <c r="E86" s="13">
        <f>D86/(1+Параметры!$C$13)</f>
        <v>3770413.3913149452</v>
      </c>
      <c r="F86" s="13">
        <f t="shared" si="18"/>
        <v>754082.67826298904</v>
      </c>
      <c r="G86" s="13">
        <f>IF(AND(A86&gt;Параметры!$C$11,A86&lt;=Параметры!$C$11+3),Параметры!$C$28,0)</f>
        <v>0</v>
      </c>
      <c r="H86" s="13">
        <f t="shared" si="19"/>
        <v>754082.67826298904</v>
      </c>
      <c r="I86" s="13">
        <f>E86*Параметры!$C$16</f>
        <v>565562.00869724178</v>
      </c>
      <c r="J86" s="13">
        <f>Параметры!$C$27</f>
        <v>260416.66666666666</v>
      </c>
      <c r="K86" s="13">
        <f>MAX(0,Параметры!$C$20-Параметры!$C$27*MAX(0,A86-Параметры!$C$11-1))*Параметры!$C$15/12</f>
        <v>193836.80555555553</v>
      </c>
      <c r="L86" s="13">
        <f t="shared" si="20"/>
        <v>2750597.9103954816</v>
      </c>
      <c r="M86" s="13">
        <f>T85*Параметры!$C$10/12</f>
        <v>948233.41501073481</v>
      </c>
      <c r="N86" s="13">
        <f t="shared" si="21"/>
        <v>1802364.4953847467</v>
      </c>
      <c r="O86" s="13">
        <f>MAX(0,N86*Параметры!$C$14)</f>
        <v>360472.89907694934</v>
      </c>
      <c r="P86" s="13">
        <f t="shared" si="22"/>
        <v>1441891.5963077974</v>
      </c>
      <c r="Q86" s="13">
        <v>0</v>
      </c>
      <c r="R86" s="13">
        <v>0</v>
      </c>
      <c r="S86" s="13">
        <f>MAX(0,MIN(Параметры!$C$26-M86,T85))</f>
        <v>294028.53877571982</v>
      </c>
      <c r="T86" s="13">
        <f t="shared" si="23"/>
        <v>75564644.66208306</v>
      </c>
      <c r="U86" s="13">
        <f t="shared" si="24"/>
        <v>654197.04593575513</v>
      </c>
      <c r="V86" s="13">
        <f t="shared" si="17"/>
        <v>-21566983.003267795</v>
      </c>
    </row>
    <row r="87" spans="1:22" x14ac:dyDescent="0.25">
      <c r="A87" s="14">
        <v>86</v>
      </c>
      <c r="B87" s="14" t="s">
        <v>148</v>
      </c>
      <c r="C87" s="15" t="s">
        <v>73</v>
      </c>
      <c r="D87" s="9">
        <f>Параметры!$C$4*Параметры!$C$7*(1+Параметры!$C$8)^INT((A87-Параметры!$C$11-1)/12)</f>
        <v>4524496.0695779342</v>
      </c>
      <c r="E87" s="9">
        <f>D87/(1+Параметры!$C$13)</f>
        <v>3770413.3913149452</v>
      </c>
      <c r="F87" s="9">
        <f t="shared" si="18"/>
        <v>754082.67826298904</v>
      </c>
      <c r="G87" s="9">
        <f>IF(AND(A87&gt;Параметры!$C$11,A87&lt;=Параметры!$C$11+3),Параметры!$C$28,0)</f>
        <v>0</v>
      </c>
      <c r="H87" s="9">
        <f t="shared" si="19"/>
        <v>754082.67826298904</v>
      </c>
      <c r="I87" s="9">
        <f>E87*Параметры!$C$16</f>
        <v>565562.00869724178</v>
      </c>
      <c r="J87" s="9">
        <f>Параметры!$C$27</f>
        <v>260416.66666666666</v>
      </c>
      <c r="K87" s="9">
        <f>MAX(0,Параметры!$C$20-Параметры!$C$27*MAX(0,A87-Параметры!$C$11-1))*Параметры!$C$15/12</f>
        <v>193359.375</v>
      </c>
      <c r="L87" s="9">
        <f t="shared" si="20"/>
        <v>2751075.3409510371</v>
      </c>
      <c r="M87" s="9">
        <f>T86*Параметры!$C$10/12</f>
        <v>944558.05827603815</v>
      </c>
      <c r="N87" s="9">
        <f t="shared" si="21"/>
        <v>1806517.282674999</v>
      </c>
      <c r="O87" s="9">
        <f>MAX(0,N87*Параметры!$C$14)</f>
        <v>361303.45653499983</v>
      </c>
      <c r="P87" s="9">
        <f t="shared" si="22"/>
        <v>1445213.8261399991</v>
      </c>
      <c r="Q87" s="9">
        <v>0</v>
      </c>
      <c r="R87" s="9">
        <v>0</v>
      </c>
      <c r="S87" s="9">
        <f>MAX(0,MIN(Параметры!$C$26-M87,T86))</f>
        <v>297703.89551041648</v>
      </c>
      <c r="T87" s="9">
        <f t="shared" si="23"/>
        <v>75266940.766572639</v>
      </c>
      <c r="U87" s="9">
        <f t="shared" si="24"/>
        <v>653843.91903326032</v>
      </c>
      <c r="V87" s="9">
        <f t="shared" si="17"/>
        <v>-20913139.084234536</v>
      </c>
    </row>
    <row r="88" spans="1:22" x14ac:dyDescent="0.25">
      <c r="A88" s="11">
        <v>87</v>
      </c>
      <c r="B88" s="11" t="s">
        <v>149</v>
      </c>
      <c r="C88" s="12" t="s">
        <v>73</v>
      </c>
      <c r="D88" s="13">
        <f>Параметры!$C$4*Параметры!$C$7*(1+Параметры!$C$8)^INT((A88-Параметры!$C$11-1)/12)</f>
        <v>4524496.0695779342</v>
      </c>
      <c r="E88" s="13">
        <f>D88/(1+Параметры!$C$13)</f>
        <v>3770413.3913149452</v>
      </c>
      <c r="F88" s="13">
        <f t="shared" si="18"/>
        <v>754082.67826298904</v>
      </c>
      <c r="G88" s="13">
        <f>IF(AND(A88&gt;Параметры!$C$11,A88&lt;=Параметры!$C$11+3),Параметры!$C$28,0)</f>
        <v>0</v>
      </c>
      <c r="H88" s="13">
        <f t="shared" si="19"/>
        <v>754082.67826298904</v>
      </c>
      <c r="I88" s="13">
        <f>E88*Параметры!$C$16</f>
        <v>565562.00869724178</v>
      </c>
      <c r="J88" s="13">
        <f>Параметры!$C$27</f>
        <v>260416.66666666666</v>
      </c>
      <c r="K88" s="13">
        <f>MAX(0,Параметры!$C$20-Параметры!$C$27*MAX(0,A88-Параметры!$C$11-1))*Параметры!$C$15/12</f>
        <v>192881.94444444447</v>
      </c>
      <c r="L88" s="13">
        <f t="shared" si="20"/>
        <v>2751552.7715065926</v>
      </c>
      <c r="M88" s="13">
        <f>T87*Параметры!$C$10/12</f>
        <v>940836.75958215806</v>
      </c>
      <c r="N88" s="13">
        <f t="shared" si="21"/>
        <v>1810716.0119244345</v>
      </c>
      <c r="O88" s="13">
        <f>MAX(0,N88*Параметры!$C$14)</f>
        <v>362143.20238488691</v>
      </c>
      <c r="P88" s="13">
        <f t="shared" si="22"/>
        <v>1448572.8095395477</v>
      </c>
      <c r="Q88" s="13">
        <v>0</v>
      </c>
      <c r="R88" s="13">
        <v>0</v>
      </c>
      <c r="S88" s="13">
        <f>MAX(0,MIN(Параметры!$C$26-M88,T87))</f>
        <v>301425.19420429657</v>
      </c>
      <c r="T88" s="13">
        <f t="shared" si="23"/>
        <v>74965515.572368339</v>
      </c>
      <c r="U88" s="13">
        <f t="shared" si="24"/>
        <v>653481.60373892868</v>
      </c>
      <c r="V88" s="13">
        <f t="shared" si="17"/>
        <v>-20259657.480495606</v>
      </c>
    </row>
    <row r="89" spans="1:22" x14ac:dyDescent="0.25">
      <c r="A89" s="14">
        <v>88</v>
      </c>
      <c r="B89" s="14" t="s">
        <v>150</v>
      </c>
      <c r="C89" s="15" t="s">
        <v>73</v>
      </c>
      <c r="D89" s="9">
        <f>Параметры!$C$4*Параметры!$C$7*(1+Параметры!$C$8)^INT((A89-Параметры!$C$11-1)/12)</f>
        <v>4524496.0695779342</v>
      </c>
      <c r="E89" s="9">
        <f>D89/(1+Параметры!$C$13)</f>
        <v>3770413.3913149452</v>
      </c>
      <c r="F89" s="9">
        <f t="shared" si="18"/>
        <v>754082.67826298904</v>
      </c>
      <c r="G89" s="9">
        <f>IF(AND(A89&gt;Параметры!$C$11,A89&lt;=Параметры!$C$11+3),Параметры!$C$28,0)</f>
        <v>0</v>
      </c>
      <c r="H89" s="9">
        <f t="shared" si="19"/>
        <v>754082.67826298904</v>
      </c>
      <c r="I89" s="9">
        <f>E89*Параметры!$C$16</f>
        <v>565562.00869724178</v>
      </c>
      <c r="J89" s="9">
        <f>Параметры!$C$27</f>
        <v>260416.66666666666</v>
      </c>
      <c r="K89" s="9">
        <f>MAX(0,Параметры!$C$20-Параметры!$C$27*MAX(0,A89-Параметры!$C$11-1))*Параметры!$C$15/12</f>
        <v>192404.51388888888</v>
      </c>
      <c r="L89" s="9">
        <f t="shared" si="20"/>
        <v>2752030.2020621481</v>
      </c>
      <c r="M89" s="9">
        <f>T88*Параметры!$C$10/12</f>
        <v>937068.9446546043</v>
      </c>
      <c r="N89" s="9">
        <f t="shared" si="21"/>
        <v>1814961.2574075437</v>
      </c>
      <c r="O89" s="9">
        <f>MAX(0,N89*Параметры!$C$14)</f>
        <v>362992.25148150878</v>
      </c>
      <c r="P89" s="9">
        <f t="shared" si="22"/>
        <v>1451969.0059260349</v>
      </c>
      <c r="Q89" s="9">
        <v>0</v>
      </c>
      <c r="R89" s="9">
        <v>0</v>
      </c>
      <c r="S89" s="9">
        <f>MAX(0,MIN(Параметры!$C$26-M89,T88))</f>
        <v>305193.00913185033</v>
      </c>
      <c r="T89" s="9">
        <f t="shared" si="23"/>
        <v>74660322.56323649</v>
      </c>
      <c r="U89" s="9">
        <f t="shared" si="24"/>
        <v>653109.98519786214</v>
      </c>
      <c r="V89" s="9">
        <f t="shared" si="17"/>
        <v>-19606547.495297745</v>
      </c>
    </row>
    <row r="90" spans="1:22" x14ac:dyDescent="0.25">
      <c r="A90" s="11">
        <v>89</v>
      </c>
      <c r="B90" s="11" t="s">
        <v>151</v>
      </c>
      <c r="C90" s="12" t="s">
        <v>73</v>
      </c>
      <c r="D90" s="13">
        <f>Параметры!$C$4*Параметры!$C$7*(1+Параметры!$C$8)^INT((A90-Параметры!$C$11-1)/12)</f>
        <v>4524496.0695779342</v>
      </c>
      <c r="E90" s="13">
        <f>D90/(1+Параметры!$C$13)</f>
        <v>3770413.3913149452</v>
      </c>
      <c r="F90" s="13">
        <f t="shared" si="18"/>
        <v>754082.67826298904</v>
      </c>
      <c r="G90" s="13">
        <f>IF(AND(A90&gt;Параметры!$C$11,A90&lt;=Параметры!$C$11+3),Параметры!$C$28,0)</f>
        <v>0</v>
      </c>
      <c r="H90" s="13">
        <f t="shared" si="19"/>
        <v>754082.67826298904</v>
      </c>
      <c r="I90" s="13">
        <f>E90*Параметры!$C$16</f>
        <v>565562.00869724178</v>
      </c>
      <c r="J90" s="13">
        <f>Параметры!$C$27</f>
        <v>260416.66666666666</v>
      </c>
      <c r="K90" s="13">
        <f>MAX(0,Параметры!$C$20-Параметры!$C$27*MAX(0,A90-Параметры!$C$11-1))*Параметры!$C$15/12</f>
        <v>191927.08333333334</v>
      </c>
      <c r="L90" s="13">
        <f t="shared" si="20"/>
        <v>2752507.6326177036</v>
      </c>
      <c r="M90" s="13">
        <f>T89*Параметры!$C$10/12</f>
        <v>933254.03204045619</v>
      </c>
      <c r="N90" s="13">
        <f t="shared" si="21"/>
        <v>1819253.6005772473</v>
      </c>
      <c r="O90" s="13">
        <f>MAX(0,N90*Параметры!$C$14)</f>
        <v>363850.72011544951</v>
      </c>
      <c r="P90" s="13">
        <f t="shared" si="22"/>
        <v>1455402.8804617978</v>
      </c>
      <c r="Q90" s="13">
        <v>0</v>
      </c>
      <c r="R90" s="13">
        <v>0</v>
      </c>
      <c r="S90" s="13">
        <f>MAX(0,MIN(Параметры!$C$26-M90,T89))</f>
        <v>309007.92174599844</v>
      </c>
      <c r="T90" s="13">
        <f t="shared" si="23"/>
        <v>74351314.641490489</v>
      </c>
      <c r="U90" s="13">
        <f t="shared" si="24"/>
        <v>652728.9471194772</v>
      </c>
      <c r="V90" s="13">
        <f t="shared" si="17"/>
        <v>-18953818.548178267</v>
      </c>
    </row>
    <row r="91" spans="1:22" x14ac:dyDescent="0.25">
      <c r="A91" s="14">
        <v>90</v>
      </c>
      <c r="B91" s="14" t="s">
        <v>152</v>
      </c>
      <c r="C91" s="15" t="s">
        <v>73</v>
      </c>
      <c r="D91" s="9">
        <f>Параметры!$C$4*Параметры!$C$7*(1+Параметры!$C$8)^INT((A91-Параметры!$C$11-1)/12)</f>
        <v>4524496.0695779342</v>
      </c>
      <c r="E91" s="9">
        <f>D91/(1+Параметры!$C$13)</f>
        <v>3770413.3913149452</v>
      </c>
      <c r="F91" s="9">
        <f t="shared" si="18"/>
        <v>754082.67826298904</v>
      </c>
      <c r="G91" s="9">
        <f>IF(AND(A91&gt;Параметры!$C$11,A91&lt;=Параметры!$C$11+3),Параметры!$C$28,0)</f>
        <v>0</v>
      </c>
      <c r="H91" s="9">
        <f t="shared" si="19"/>
        <v>754082.67826298904</v>
      </c>
      <c r="I91" s="9">
        <f>E91*Параметры!$C$16</f>
        <v>565562.00869724178</v>
      </c>
      <c r="J91" s="9">
        <f>Параметры!$C$27</f>
        <v>260416.66666666666</v>
      </c>
      <c r="K91" s="9">
        <f>MAX(0,Параметры!$C$20-Параметры!$C$27*MAX(0,A91-Параметры!$C$11-1))*Параметры!$C$15/12</f>
        <v>191449.65277777778</v>
      </c>
      <c r="L91" s="9">
        <f t="shared" si="20"/>
        <v>2752985.0631732591</v>
      </c>
      <c r="M91" s="9">
        <f>T90*Параметры!$C$10/12</f>
        <v>929391.43301863119</v>
      </c>
      <c r="N91" s="9">
        <f t="shared" si="21"/>
        <v>1823593.6301546278</v>
      </c>
      <c r="O91" s="9">
        <f>MAX(0,N91*Параметры!$C$14)</f>
        <v>364718.72603092558</v>
      </c>
      <c r="P91" s="9">
        <f t="shared" si="22"/>
        <v>1458874.9041237023</v>
      </c>
      <c r="Q91" s="9">
        <v>0</v>
      </c>
      <c r="R91" s="9">
        <v>0</v>
      </c>
      <c r="S91" s="9">
        <f>MAX(0,MIN(Параметры!$C$26-M91,T90))</f>
        <v>312870.52076782344</v>
      </c>
      <c r="T91" s="9">
        <f t="shared" si="23"/>
        <v>74038444.120722666</v>
      </c>
      <c r="U91" s="9">
        <f t="shared" si="24"/>
        <v>652338.3717595567</v>
      </c>
      <c r="V91" s="9">
        <f t="shared" si="17"/>
        <v>-18301480.176418711</v>
      </c>
    </row>
    <row r="92" spans="1:22" x14ac:dyDescent="0.25">
      <c r="A92" s="11">
        <v>91</v>
      </c>
      <c r="B92" s="11" t="s">
        <v>153</v>
      </c>
      <c r="C92" s="12" t="s">
        <v>73</v>
      </c>
      <c r="D92" s="13">
        <f>Параметры!$C$4*Параметры!$C$7*(1+Параметры!$C$8)^INT((A92-Параметры!$C$11-1)/12)</f>
        <v>4524496.0695779342</v>
      </c>
      <c r="E92" s="13">
        <f>D92/(1+Параметры!$C$13)</f>
        <v>3770413.3913149452</v>
      </c>
      <c r="F92" s="13">
        <f t="shared" si="18"/>
        <v>754082.67826298904</v>
      </c>
      <c r="G92" s="13">
        <f>IF(AND(A92&gt;Параметры!$C$11,A92&lt;=Параметры!$C$11+3),Параметры!$C$28,0)</f>
        <v>0</v>
      </c>
      <c r="H92" s="13">
        <f t="shared" si="19"/>
        <v>754082.67826298904</v>
      </c>
      <c r="I92" s="13">
        <f>E92*Параметры!$C$16</f>
        <v>565562.00869724178</v>
      </c>
      <c r="J92" s="13">
        <f>Параметры!$C$27</f>
        <v>260416.66666666666</v>
      </c>
      <c r="K92" s="13">
        <f>MAX(0,Параметры!$C$20-Параметры!$C$27*MAX(0,A92-Параметры!$C$11-1))*Параметры!$C$15/12</f>
        <v>190972.22222222222</v>
      </c>
      <c r="L92" s="13">
        <f t="shared" si="20"/>
        <v>2753462.4937288151</v>
      </c>
      <c r="M92" s="13">
        <f>T91*Параметры!$C$10/12</f>
        <v>925480.55150903331</v>
      </c>
      <c r="N92" s="13">
        <f t="shared" si="21"/>
        <v>1827981.9422197817</v>
      </c>
      <c r="O92" s="13">
        <f>MAX(0,N92*Параметры!$C$14)</f>
        <v>365596.38844395638</v>
      </c>
      <c r="P92" s="13">
        <f t="shared" si="22"/>
        <v>1462385.5537758253</v>
      </c>
      <c r="Q92" s="13">
        <v>0</v>
      </c>
      <c r="R92" s="13">
        <v>0</v>
      </c>
      <c r="S92" s="13">
        <f>MAX(0,MIN(Параметры!$C$26-M92,T91))</f>
        <v>316781.40227742132</v>
      </c>
      <c r="T92" s="13">
        <f t="shared" si="23"/>
        <v>73721662.718445241</v>
      </c>
      <c r="U92" s="13">
        <f t="shared" si="24"/>
        <v>651938.13990208181</v>
      </c>
      <c r="V92" s="13">
        <f t="shared" si="17"/>
        <v>-17649542.036516629</v>
      </c>
    </row>
    <row r="93" spans="1:22" x14ac:dyDescent="0.25">
      <c r="A93" s="14">
        <v>92</v>
      </c>
      <c r="B93" s="14" t="s">
        <v>154</v>
      </c>
      <c r="C93" s="15" t="s">
        <v>73</v>
      </c>
      <c r="D93" s="9">
        <f>Параметры!$C$4*Параметры!$C$7*(1+Параметры!$C$8)^INT((A93-Параметры!$C$11-1)/12)</f>
        <v>4524496.0695779342</v>
      </c>
      <c r="E93" s="9">
        <f>D93/(1+Параметры!$C$13)</f>
        <v>3770413.3913149452</v>
      </c>
      <c r="F93" s="9">
        <f t="shared" si="18"/>
        <v>754082.67826298904</v>
      </c>
      <c r="G93" s="9">
        <f>IF(AND(A93&gt;Параметры!$C$11,A93&lt;=Параметры!$C$11+3),Параметры!$C$28,0)</f>
        <v>0</v>
      </c>
      <c r="H93" s="9">
        <f t="shared" si="19"/>
        <v>754082.67826298904</v>
      </c>
      <c r="I93" s="9">
        <f>E93*Параметры!$C$16</f>
        <v>565562.00869724178</v>
      </c>
      <c r="J93" s="9">
        <f>Параметры!$C$27</f>
        <v>260416.66666666666</v>
      </c>
      <c r="K93" s="9">
        <f>MAX(0,Параметры!$C$20-Параметры!$C$27*MAX(0,A93-Параметры!$C$11-1))*Параметры!$C$15/12</f>
        <v>190494.79166666666</v>
      </c>
      <c r="L93" s="9">
        <f t="shared" si="20"/>
        <v>2753939.9242843706</v>
      </c>
      <c r="M93" s="9">
        <f>T92*Параметры!$C$10/12</f>
        <v>921520.78398056549</v>
      </c>
      <c r="N93" s="9">
        <f t="shared" si="21"/>
        <v>1832419.140303805</v>
      </c>
      <c r="O93" s="9">
        <f>MAX(0,N93*Параметры!$C$14)</f>
        <v>366483.82806076104</v>
      </c>
      <c r="P93" s="9">
        <f t="shared" si="22"/>
        <v>1465935.3122430439</v>
      </c>
      <c r="Q93" s="9">
        <v>0</v>
      </c>
      <c r="R93" s="9">
        <v>0</v>
      </c>
      <c r="S93" s="9">
        <f>MAX(0,MIN(Параметры!$C$26-M93,T92))</f>
        <v>320741.16980588913</v>
      </c>
      <c r="T93" s="9">
        <f t="shared" si="23"/>
        <v>73400921.548639357</v>
      </c>
      <c r="U93" s="9">
        <f t="shared" si="24"/>
        <v>651528.13084083237</v>
      </c>
      <c r="V93" s="9">
        <f t="shared" si="17"/>
        <v>-16998013.905675799</v>
      </c>
    </row>
    <row r="94" spans="1:22" x14ac:dyDescent="0.25">
      <c r="A94" s="11">
        <v>93</v>
      </c>
      <c r="B94" s="11" t="s">
        <v>155</v>
      </c>
      <c r="C94" s="12" t="s">
        <v>73</v>
      </c>
      <c r="D94" s="13">
        <f>Параметры!$C$4*Параметры!$C$7*(1+Параметры!$C$8)^INT((A94-Параметры!$C$11-1)/12)</f>
        <v>4524496.0695779342</v>
      </c>
      <c r="E94" s="13">
        <f>D94/(1+Параметры!$C$13)</f>
        <v>3770413.3913149452</v>
      </c>
      <c r="F94" s="13">
        <f t="shared" si="18"/>
        <v>754082.67826298904</v>
      </c>
      <c r="G94" s="13">
        <f>IF(AND(A94&gt;Параметры!$C$11,A94&lt;=Параметры!$C$11+3),Параметры!$C$28,0)</f>
        <v>0</v>
      </c>
      <c r="H94" s="13">
        <f t="shared" si="19"/>
        <v>754082.67826298904</v>
      </c>
      <c r="I94" s="13">
        <f>E94*Параметры!$C$16</f>
        <v>565562.00869724178</v>
      </c>
      <c r="J94" s="13">
        <f>Параметры!$C$27</f>
        <v>260416.66666666666</v>
      </c>
      <c r="K94" s="13">
        <f>MAX(0,Параметры!$C$20-Параметры!$C$27*MAX(0,A94-Параметры!$C$11-1))*Параметры!$C$15/12</f>
        <v>190017.36111111112</v>
      </c>
      <c r="L94" s="13">
        <f t="shared" si="20"/>
        <v>2754417.3548399261</v>
      </c>
      <c r="M94" s="13">
        <f>T93*Параметры!$C$10/12</f>
        <v>917511.51935799187</v>
      </c>
      <c r="N94" s="13">
        <f t="shared" si="21"/>
        <v>1836905.8354819342</v>
      </c>
      <c r="O94" s="13">
        <f>MAX(0,N94*Параметры!$C$14)</f>
        <v>367381.1670963869</v>
      </c>
      <c r="P94" s="13">
        <f t="shared" si="22"/>
        <v>1469524.6683855474</v>
      </c>
      <c r="Q94" s="13">
        <v>0</v>
      </c>
      <c r="R94" s="13">
        <v>0</v>
      </c>
      <c r="S94" s="13">
        <f>MAX(0,MIN(Параметры!$C$26-M94,T93))</f>
        <v>324750.43442846276</v>
      </c>
      <c r="T94" s="13">
        <f t="shared" si="23"/>
        <v>73076171.114210889</v>
      </c>
      <c r="U94" s="13">
        <f t="shared" si="24"/>
        <v>651108.2223607623</v>
      </c>
      <c r="V94" s="13">
        <f t="shared" si="17"/>
        <v>-16346905.683315037</v>
      </c>
    </row>
    <row r="95" spans="1:22" x14ac:dyDescent="0.25">
      <c r="A95" s="14">
        <v>94</v>
      </c>
      <c r="B95" s="14" t="s">
        <v>156</v>
      </c>
      <c r="C95" s="15" t="s">
        <v>73</v>
      </c>
      <c r="D95" s="9">
        <f>Параметры!$C$4*Параметры!$C$7*(1+Параметры!$C$8)^INT((A95-Параметры!$C$11-1)/12)</f>
        <v>4524496.0695779342</v>
      </c>
      <c r="E95" s="9">
        <f>D95/(1+Параметры!$C$13)</f>
        <v>3770413.3913149452</v>
      </c>
      <c r="F95" s="9">
        <f t="shared" si="18"/>
        <v>754082.67826298904</v>
      </c>
      <c r="G95" s="9">
        <f>IF(AND(A95&gt;Параметры!$C$11,A95&lt;=Параметры!$C$11+3),Параметры!$C$28,0)</f>
        <v>0</v>
      </c>
      <c r="H95" s="9">
        <f t="shared" si="19"/>
        <v>754082.67826298904</v>
      </c>
      <c r="I95" s="9">
        <f>E95*Параметры!$C$16</f>
        <v>565562.00869724178</v>
      </c>
      <c r="J95" s="9">
        <f>Параметры!$C$27</f>
        <v>260416.66666666666</v>
      </c>
      <c r="K95" s="9">
        <f>MAX(0,Параметры!$C$20-Параметры!$C$27*MAX(0,A95-Параметры!$C$11-1))*Параметры!$C$15/12</f>
        <v>189539.93055555553</v>
      </c>
      <c r="L95" s="9">
        <f t="shared" si="20"/>
        <v>2754894.7853954816</v>
      </c>
      <c r="M95" s="9">
        <f>T94*Параметры!$C$10/12</f>
        <v>913452.13892763609</v>
      </c>
      <c r="N95" s="9">
        <f t="shared" si="21"/>
        <v>1841442.6464678454</v>
      </c>
      <c r="O95" s="9">
        <f>MAX(0,N95*Параметры!$C$14)</f>
        <v>368288.5292935691</v>
      </c>
      <c r="P95" s="9">
        <f t="shared" si="22"/>
        <v>1473154.1171742764</v>
      </c>
      <c r="Q95" s="9">
        <v>0</v>
      </c>
      <c r="R95" s="9">
        <v>0</v>
      </c>
      <c r="S95" s="9">
        <f>MAX(0,MIN(Параметры!$C$26-M95,T94))</f>
        <v>328809.81485881854</v>
      </c>
      <c r="T95" s="9">
        <f t="shared" si="23"/>
        <v>72747361.299352065</v>
      </c>
      <c r="U95" s="9">
        <f t="shared" si="24"/>
        <v>650678.29071913566</v>
      </c>
      <c r="V95" s="9">
        <f t="shared" si="17"/>
        <v>-15696227.392595902</v>
      </c>
    </row>
    <row r="96" spans="1:22" x14ac:dyDescent="0.25">
      <c r="A96" s="11">
        <v>95</v>
      </c>
      <c r="B96" s="11" t="s">
        <v>157</v>
      </c>
      <c r="C96" s="12" t="s">
        <v>73</v>
      </c>
      <c r="D96" s="13">
        <f>Параметры!$C$4*Параметры!$C$7*(1+Параметры!$C$8)^INT((A96-Параметры!$C$11-1)/12)</f>
        <v>4886455.7551441696</v>
      </c>
      <c r="E96" s="13">
        <f>D96/(1+Параметры!$C$13)</f>
        <v>4072046.4626201415</v>
      </c>
      <c r="F96" s="13">
        <f t="shared" si="18"/>
        <v>814409.2925240281</v>
      </c>
      <c r="G96" s="13">
        <f>IF(AND(A96&gt;Параметры!$C$11,A96&lt;=Параметры!$C$11+3),Параметры!$C$28,0)</f>
        <v>0</v>
      </c>
      <c r="H96" s="13">
        <f t="shared" si="19"/>
        <v>814409.2925240281</v>
      </c>
      <c r="I96" s="13">
        <f>E96*Параметры!$C$16</f>
        <v>610806.96939302119</v>
      </c>
      <c r="J96" s="13">
        <f>Параметры!$C$27</f>
        <v>260416.66666666666</v>
      </c>
      <c r="K96" s="13">
        <f>MAX(0,Параметры!$C$20-Параметры!$C$27*MAX(0,A96-Параметры!$C$11-1))*Параметры!$C$15/12</f>
        <v>189062.5</v>
      </c>
      <c r="L96" s="13">
        <f t="shared" si="20"/>
        <v>3011760.326560454</v>
      </c>
      <c r="M96" s="13">
        <f>T95*Параметры!$C$10/12</f>
        <v>909342.01624190074</v>
      </c>
      <c r="N96" s="13">
        <f t="shared" si="21"/>
        <v>2102418.3103185534</v>
      </c>
      <c r="O96" s="13">
        <f>MAX(0,N96*Параметры!$C$14)</f>
        <v>420483.66206371068</v>
      </c>
      <c r="P96" s="13">
        <f t="shared" si="22"/>
        <v>1681934.6482548427</v>
      </c>
      <c r="Q96" s="13">
        <v>0</v>
      </c>
      <c r="R96" s="13">
        <v>0</v>
      </c>
      <c r="S96" s="13">
        <f>MAX(0,MIN(Параметры!$C$26-M96,T95))</f>
        <v>332919.93754455389</v>
      </c>
      <c r="T96" s="13">
        <f t="shared" si="23"/>
        <v>72414441.36180751</v>
      </c>
      <c r="U96" s="13">
        <f t="shared" si="24"/>
        <v>795022.08485292736</v>
      </c>
      <c r="V96" s="13">
        <f t="shared" si="17"/>
        <v>-14901205.307742976</v>
      </c>
    </row>
    <row r="97" spans="1:22" x14ac:dyDescent="0.25">
      <c r="A97" s="14">
        <v>96</v>
      </c>
      <c r="B97" s="14" t="s">
        <v>158</v>
      </c>
      <c r="C97" s="15" t="s">
        <v>73</v>
      </c>
      <c r="D97" s="9">
        <f>Параметры!$C$4*Параметры!$C$7*(1+Параметры!$C$8)^INT((A97-Параметры!$C$11-1)/12)</f>
        <v>4886455.7551441696</v>
      </c>
      <c r="E97" s="9">
        <f>D97/(1+Параметры!$C$13)</f>
        <v>4072046.4626201415</v>
      </c>
      <c r="F97" s="9">
        <f t="shared" si="18"/>
        <v>814409.2925240281</v>
      </c>
      <c r="G97" s="9">
        <f>IF(AND(A97&gt;Параметры!$C$11,A97&lt;=Параметры!$C$11+3),Параметры!$C$28,0)</f>
        <v>0</v>
      </c>
      <c r="H97" s="9">
        <f t="shared" si="19"/>
        <v>814409.2925240281</v>
      </c>
      <c r="I97" s="9">
        <f>E97*Параметры!$C$16</f>
        <v>610806.96939302119</v>
      </c>
      <c r="J97" s="9">
        <f>Параметры!$C$27</f>
        <v>260416.66666666666</v>
      </c>
      <c r="K97" s="9">
        <f>MAX(0,Параметры!$C$20-Параметры!$C$27*MAX(0,A97-Параметры!$C$11-1))*Параметры!$C$15/12</f>
        <v>188585.06944444447</v>
      </c>
      <c r="L97" s="9">
        <f t="shared" si="20"/>
        <v>3012237.7571160095</v>
      </c>
      <c r="M97" s="9">
        <f>T96*Параметры!$C$10/12</f>
        <v>905180.51702259388</v>
      </c>
      <c r="N97" s="9">
        <f t="shared" si="21"/>
        <v>2107057.2400934156</v>
      </c>
      <c r="O97" s="9">
        <f>MAX(0,N97*Параметры!$C$14)</f>
        <v>421411.44801868312</v>
      </c>
      <c r="P97" s="9">
        <f t="shared" si="22"/>
        <v>1685645.7920747325</v>
      </c>
      <c r="Q97" s="9">
        <v>0</v>
      </c>
      <c r="R97" s="9">
        <v>0</v>
      </c>
      <c r="S97" s="9">
        <f>MAX(0,MIN(Параметры!$C$26-M97,T96))</f>
        <v>337081.43676386075</v>
      </c>
      <c r="T97" s="9">
        <f t="shared" si="23"/>
        <v>72077359.925043643</v>
      </c>
      <c r="U97" s="9">
        <f t="shared" si="24"/>
        <v>794571.72945351037</v>
      </c>
      <c r="V97" s="9">
        <f t="shared" si="17"/>
        <v>-14106633.578289466</v>
      </c>
    </row>
    <row r="98" spans="1:22" x14ac:dyDescent="0.25">
      <c r="A98" s="11">
        <v>97</v>
      </c>
      <c r="B98" s="11" t="s">
        <v>159</v>
      </c>
      <c r="C98" s="12" t="s">
        <v>73</v>
      </c>
      <c r="D98" s="13">
        <f>Параметры!$C$4*Параметры!$C$7*(1+Параметры!$C$8)^INT((A98-Параметры!$C$11-1)/12)</f>
        <v>4886455.7551441696</v>
      </c>
      <c r="E98" s="13">
        <f>D98/(1+Параметры!$C$13)</f>
        <v>4072046.4626201415</v>
      </c>
      <c r="F98" s="13">
        <f t="shared" si="18"/>
        <v>814409.2925240281</v>
      </c>
      <c r="G98" s="13">
        <f>IF(AND(A98&gt;Параметры!$C$11,A98&lt;=Параметры!$C$11+3),Параметры!$C$28,0)</f>
        <v>0</v>
      </c>
      <c r="H98" s="13">
        <f t="shared" si="19"/>
        <v>814409.2925240281</v>
      </c>
      <c r="I98" s="13">
        <f>E98*Параметры!$C$16</f>
        <v>610806.96939302119</v>
      </c>
      <c r="J98" s="13">
        <f>Параметры!$C$27</f>
        <v>260416.66666666666</v>
      </c>
      <c r="K98" s="13">
        <f>MAX(0,Параметры!$C$20-Параметры!$C$27*MAX(0,A98-Параметры!$C$11-1))*Параметры!$C$15/12</f>
        <v>188107.63888888888</v>
      </c>
      <c r="L98" s="13">
        <f t="shared" si="20"/>
        <v>3012715.187671565</v>
      </c>
      <c r="M98" s="13">
        <f>T97*Параметры!$C$10/12</f>
        <v>900966.9990630456</v>
      </c>
      <c r="N98" s="13">
        <f t="shared" si="21"/>
        <v>2111748.1886085193</v>
      </c>
      <c r="O98" s="13">
        <f>MAX(0,N98*Параметры!$C$14)</f>
        <v>422349.63772170385</v>
      </c>
      <c r="P98" s="13">
        <f t="shared" si="22"/>
        <v>1689398.5508868154</v>
      </c>
      <c r="Q98" s="13">
        <v>0</v>
      </c>
      <c r="R98" s="13">
        <v>0</v>
      </c>
      <c r="S98" s="13">
        <f>MAX(0,MIN(Параметры!$C$26-M98,T97))</f>
        <v>341294.95472340903</v>
      </c>
      <c r="T98" s="13">
        <f t="shared" si="23"/>
        <v>71736064.97032024</v>
      </c>
      <c r="U98" s="13">
        <f t="shared" si="24"/>
        <v>794110.97030604491</v>
      </c>
      <c r="V98" s="13">
        <f t="shared" si="17"/>
        <v>-13312522.607983422</v>
      </c>
    </row>
    <row r="99" spans="1:22" x14ac:dyDescent="0.25">
      <c r="A99" s="14">
        <v>98</v>
      </c>
      <c r="B99" s="14" t="s">
        <v>160</v>
      </c>
      <c r="C99" s="15" t="s">
        <v>73</v>
      </c>
      <c r="D99" s="9">
        <f>Параметры!$C$4*Параметры!$C$7*(1+Параметры!$C$8)^INT((A99-Параметры!$C$11-1)/12)</f>
        <v>4886455.7551441696</v>
      </c>
      <c r="E99" s="9">
        <f>D99/(1+Параметры!$C$13)</f>
        <v>4072046.4626201415</v>
      </c>
      <c r="F99" s="9">
        <f t="shared" si="18"/>
        <v>814409.2925240281</v>
      </c>
      <c r="G99" s="9">
        <f>IF(AND(A99&gt;Параметры!$C$11,A99&lt;=Параметры!$C$11+3),Параметры!$C$28,0)</f>
        <v>0</v>
      </c>
      <c r="H99" s="9">
        <f t="shared" si="19"/>
        <v>814409.2925240281</v>
      </c>
      <c r="I99" s="9">
        <f>E99*Параметры!$C$16</f>
        <v>610806.96939302119</v>
      </c>
      <c r="J99" s="9">
        <f>Параметры!$C$27</f>
        <v>260416.66666666666</v>
      </c>
      <c r="K99" s="9">
        <f>MAX(0,Параметры!$C$20-Параметры!$C$27*MAX(0,A99-Параметры!$C$11-1))*Параметры!$C$15/12</f>
        <v>187630.20833333334</v>
      </c>
      <c r="L99" s="9">
        <f t="shared" si="20"/>
        <v>3013192.6182271205</v>
      </c>
      <c r="M99" s="9">
        <f>T98*Параметры!$C$10/12</f>
        <v>896700.812129003</v>
      </c>
      <c r="N99" s="9">
        <f t="shared" si="21"/>
        <v>2116491.8060981175</v>
      </c>
      <c r="O99" s="9">
        <f>MAX(0,N99*Параметры!$C$14)</f>
        <v>423298.36121962353</v>
      </c>
      <c r="P99" s="9">
        <f t="shared" si="22"/>
        <v>1693193.4448784939</v>
      </c>
      <c r="Q99" s="9">
        <v>0</v>
      </c>
      <c r="R99" s="9">
        <v>0</v>
      </c>
      <c r="S99" s="9">
        <f>MAX(0,MIN(Параметры!$C$26-M99,T98))</f>
        <v>345561.14165745163</v>
      </c>
      <c r="T99" s="9">
        <f t="shared" si="23"/>
        <v>71390503.828662783</v>
      </c>
      <c r="U99" s="9">
        <f t="shared" si="24"/>
        <v>793639.67736368091</v>
      </c>
      <c r="V99" s="9">
        <f t="shared" ref="V99:V130" si="25">V98+U99</f>
        <v>-12518882.930619741</v>
      </c>
    </row>
    <row r="100" spans="1:22" x14ac:dyDescent="0.25">
      <c r="A100" s="11">
        <v>99</v>
      </c>
      <c r="B100" s="11" t="s">
        <v>161</v>
      </c>
      <c r="C100" s="12" t="s">
        <v>73</v>
      </c>
      <c r="D100" s="13">
        <f>Параметры!$C$4*Параметры!$C$7*(1+Параметры!$C$8)^INT((A100-Параметры!$C$11-1)/12)</f>
        <v>4886455.7551441696</v>
      </c>
      <c r="E100" s="13">
        <f>D100/(1+Параметры!$C$13)</f>
        <v>4072046.4626201415</v>
      </c>
      <c r="F100" s="13">
        <f t="shared" si="18"/>
        <v>814409.2925240281</v>
      </c>
      <c r="G100" s="13">
        <f>IF(AND(A100&gt;Параметры!$C$11,A100&lt;=Параметры!$C$11+3),Параметры!$C$28,0)</f>
        <v>0</v>
      </c>
      <c r="H100" s="13">
        <f t="shared" si="19"/>
        <v>814409.2925240281</v>
      </c>
      <c r="I100" s="13">
        <f>E100*Параметры!$C$16</f>
        <v>610806.96939302119</v>
      </c>
      <c r="J100" s="13">
        <f>Параметры!$C$27</f>
        <v>260416.66666666666</v>
      </c>
      <c r="K100" s="13">
        <f>MAX(0,Параметры!$C$20-Параметры!$C$27*MAX(0,A100-Параметры!$C$11-1))*Параметры!$C$15/12</f>
        <v>187152.77777777778</v>
      </c>
      <c r="L100" s="13">
        <f t="shared" si="20"/>
        <v>3013670.048782676</v>
      </c>
      <c r="M100" s="13">
        <f>T99*Параметры!$C$10/12</f>
        <v>892381.29785828479</v>
      </c>
      <c r="N100" s="13">
        <f t="shared" si="21"/>
        <v>2121288.7509243912</v>
      </c>
      <c r="O100" s="13">
        <f>MAX(0,N100*Параметры!$C$14)</f>
        <v>424257.75018487824</v>
      </c>
      <c r="P100" s="13">
        <f t="shared" si="22"/>
        <v>1697031.000739513</v>
      </c>
      <c r="Q100" s="13">
        <v>0</v>
      </c>
      <c r="R100" s="13">
        <v>0</v>
      </c>
      <c r="S100" s="13">
        <f>MAX(0,MIN(Параметры!$C$26-M100,T99))</f>
        <v>349880.65592816984</v>
      </c>
      <c r="T100" s="13">
        <f t="shared" si="23"/>
        <v>71040623.172734618</v>
      </c>
      <c r="U100" s="13">
        <f t="shared" si="24"/>
        <v>793157.71895398176</v>
      </c>
      <c r="V100" s="13">
        <f t="shared" si="25"/>
        <v>-11725725.211665759</v>
      </c>
    </row>
    <row r="101" spans="1:22" x14ac:dyDescent="0.25">
      <c r="A101" s="14">
        <v>100</v>
      </c>
      <c r="B101" s="14" t="s">
        <v>162</v>
      </c>
      <c r="C101" s="15" t="s">
        <v>73</v>
      </c>
      <c r="D101" s="9">
        <f>Параметры!$C$4*Параметры!$C$7*(1+Параметры!$C$8)^INT((A101-Параметры!$C$11-1)/12)</f>
        <v>4886455.7551441696</v>
      </c>
      <c r="E101" s="9">
        <f>D101/(1+Параметры!$C$13)</f>
        <v>4072046.4626201415</v>
      </c>
      <c r="F101" s="9">
        <f t="shared" si="18"/>
        <v>814409.2925240281</v>
      </c>
      <c r="G101" s="9">
        <f>IF(AND(A101&gt;Параметры!$C$11,A101&lt;=Параметры!$C$11+3),Параметры!$C$28,0)</f>
        <v>0</v>
      </c>
      <c r="H101" s="9">
        <f t="shared" si="19"/>
        <v>814409.2925240281</v>
      </c>
      <c r="I101" s="9">
        <f>E101*Параметры!$C$16</f>
        <v>610806.96939302119</v>
      </c>
      <c r="J101" s="9">
        <f>Параметры!$C$27</f>
        <v>260416.66666666666</v>
      </c>
      <c r="K101" s="9">
        <f>MAX(0,Параметры!$C$20-Параметры!$C$27*MAX(0,A101-Параметры!$C$11-1))*Параметры!$C$15/12</f>
        <v>186675.34722222222</v>
      </c>
      <c r="L101" s="9">
        <f t="shared" si="20"/>
        <v>3014147.479338232</v>
      </c>
      <c r="M101" s="9">
        <f>T100*Параметры!$C$10/12</f>
        <v>888007.78965918266</v>
      </c>
      <c r="N101" s="9">
        <f t="shared" si="21"/>
        <v>2126139.6896790494</v>
      </c>
      <c r="O101" s="9">
        <f>MAX(0,N101*Параметры!$C$14)</f>
        <v>425227.9379358099</v>
      </c>
      <c r="P101" s="9">
        <f t="shared" si="22"/>
        <v>1700911.7517432396</v>
      </c>
      <c r="Q101" s="9">
        <v>0</v>
      </c>
      <c r="R101" s="9">
        <v>0</v>
      </c>
      <c r="S101" s="9">
        <f>MAX(0,MIN(Параметры!$C$26-M101,T100))</f>
        <v>354254.16412727197</v>
      </c>
      <c r="T101" s="9">
        <f t="shared" si="23"/>
        <v>70686369.008607343</v>
      </c>
      <c r="U101" s="9">
        <f t="shared" si="24"/>
        <v>792664.96175860614</v>
      </c>
      <c r="V101" s="9">
        <f t="shared" si="25"/>
        <v>-10933060.249907153</v>
      </c>
    </row>
    <row r="102" spans="1:22" x14ac:dyDescent="0.25">
      <c r="A102" s="11">
        <v>101</v>
      </c>
      <c r="B102" s="11" t="s">
        <v>163</v>
      </c>
      <c r="C102" s="12" t="s">
        <v>73</v>
      </c>
      <c r="D102" s="13">
        <f>Параметры!$C$4*Параметры!$C$7*(1+Параметры!$C$8)^INT((A102-Параметры!$C$11-1)/12)</f>
        <v>4886455.7551441696</v>
      </c>
      <c r="E102" s="13">
        <f>D102/(1+Параметры!$C$13)</f>
        <v>4072046.4626201415</v>
      </c>
      <c r="F102" s="13">
        <f t="shared" si="18"/>
        <v>814409.2925240281</v>
      </c>
      <c r="G102" s="13">
        <f>IF(AND(A102&gt;Параметры!$C$11,A102&lt;=Параметры!$C$11+3),Параметры!$C$28,0)</f>
        <v>0</v>
      </c>
      <c r="H102" s="13">
        <f t="shared" si="19"/>
        <v>814409.2925240281</v>
      </c>
      <c r="I102" s="13">
        <f>E102*Параметры!$C$16</f>
        <v>610806.96939302119</v>
      </c>
      <c r="J102" s="13">
        <f>Параметры!$C$27</f>
        <v>260416.66666666666</v>
      </c>
      <c r="K102" s="13">
        <f>MAX(0,Параметры!$C$20-Параметры!$C$27*MAX(0,A102-Параметры!$C$11-1))*Параметры!$C$15/12</f>
        <v>186197.91666666666</v>
      </c>
      <c r="L102" s="13">
        <f t="shared" si="20"/>
        <v>3014624.9098937875</v>
      </c>
      <c r="M102" s="13">
        <f>T101*Параметры!$C$10/12</f>
        <v>883579.61260759179</v>
      </c>
      <c r="N102" s="13">
        <f t="shared" si="21"/>
        <v>2131045.2972861957</v>
      </c>
      <c r="O102" s="13">
        <f>MAX(0,N102*Параметры!$C$14)</f>
        <v>426209.05945723917</v>
      </c>
      <c r="P102" s="13">
        <f t="shared" si="22"/>
        <v>1704836.2378289565</v>
      </c>
      <c r="Q102" s="13">
        <v>0</v>
      </c>
      <c r="R102" s="13">
        <v>0</v>
      </c>
      <c r="S102" s="13">
        <f>MAX(0,MIN(Параметры!$C$26-M102,T101))</f>
        <v>358682.34117886284</v>
      </c>
      <c r="T102" s="13">
        <f t="shared" si="23"/>
        <v>70327686.667428479</v>
      </c>
      <c r="U102" s="13">
        <f t="shared" si="24"/>
        <v>792161.27079273225</v>
      </c>
      <c r="V102" s="13">
        <f t="shared" si="25"/>
        <v>-10140898.979114421</v>
      </c>
    </row>
    <row r="103" spans="1:22" x14ac:dyDescent="0.25">
      <c r="A103" s="14">
        <v>102</v>
      </c>
      <c r="B103" s="14" t="s">
        <v>164</v>
      </c>
      <c r="C103" s="15" t="s">
        <v>73</v>
      </c>
      <c r="D103" s="9">
        <f>Параметры!$C$4*Параметры!$C$7*(1+Параметры!$C$8)^INT((A103-Параметры!$C$11-1)/12)</f>
        <v>4886455.7551441696</v>
      </c>
      <c r="E103" s="9">
        <f>D103/(1+Параметры!$C$13)</f>
        <v>4072046.4626201415</v>
      </c>
      <c r="F103" s="9">
        <f t="shared" si="18"/>
        <v>814409.2925240281</v>
      </c>
      <c r="G103" s="9">
        <f>IF(AND(A103&gt;Параметры!$C$11,A103&lt;=Параметры!$C$11+3),Параметры!$C$28,0)</f>
        <v>0</v>
      </c>
      <c r="H103" s="9">
        <f t="shared" si="19"/>
        <v>814409.2925240281</v>
      </c>
      <c r="I103" s="9">
        <f>E103*Параметры!$C$16</f>
        <v>610806.96939302119</v>
      </c>
      <c r="J103" s="9">
        <f>Параметры!$C$27</f>
        <v>260416.66666666666</v>
      </c>
      <c r="K103" s="9">
        <f>MAX(0,Параметры!$C$20-Параметры!$C$27*MAX(0,A103-Параметры!$C$11-1))*Параметры!$C$15/12</f>
        <v>185720.48611111112</v>
      </c>
      <c r="L103" s="9">
        <f t="shared" si="20"/>
        <v>3015102.340449343</v>
      </c>
      <c r="M103" s="9">
        <f>T102*Параметры!$C$10/12</f>
        <v>879096.08334285591</v>
      </c>
      <c r="N103" s="9">
        <f t="shared" si="21"/>
        <v>2136006.2571064872</v>
      </c>
      <c r="O103" s="9">
        <f>MAX(0,N103*Параметры!$C$14)</f>
        <v>427201.25142129743</v>
      </c>
      <c r="P103" s="9">
        <f t="shared" si="22"/>
        <v>1708805.0056851897</v>
      </c>
      <c r="Q103" s="9">
        <v>0</v>
      </c>
      <c r="R103" s="9">
        <v>0</v>
      </c>
      <c r="S103" s="9">
        <f>MAX(0,MIN(Параметры!$C$26-M103,T102))</f>
        <v>363165.87044359872</v>
      </c>
      <c r="T103" s="9">
        <f t="shared" si="23"/>
        <v>69964520.796984881</v>
      </c>
      <c r="U103" s="9">
        <f t="shared" si="24"/>
        <v>791646.50938422978</v>
      </c>
      <c r="V103" s="9">
        <f t="shared" si="25"/>
        <v>-9349252.4697301909</v>
      </c>
    </row>
    <row r="104" spans="1:22" x14ac:dyDescent="0.25">
      <c r="A104" s="11">
        <v>103</v>
      </c>
      <c r="B104" s="11" t="s">
        <v>165</v>
      </c>
      <c r="C104" s="12" t="s">
        <v>73</v>
      </c>
      <c r="D104" s="13">
        <f>Параметры!$C$4*Параметры!$C$7*(1+Параметры!$C$8)^INT((A104-Параметры!$C$11-1)/12)</f>
        <v>4886455.7551441696</v>
      </c>
      <c r="E104" s="13">
        <f>D104/(1+Параметры!$C$13)</f>
        <v>4072046.4626201415</v>
      </c>
      <c r="F104" s="13">
        <f t="shared" si="18"/>
        <v>814409.2925240281</v>
      </c>
      <c r="G104" s="13">
        <f>IF(AND(A104&gt;Параметры!$C$11,A104&lt;=Параметры!$C$11+3),Параметры!$C$28,0)</f>
        <v>0</v>
      </c>
      <c r="H104" s="13">
        <f t="shared" si="19"/>
        <v>814409.2925240281</v>
      </c>
      <c r="I104" s="13">
        <f>E104*Параметры!$C$16</f>
        <v>610806.96939302119</v>
      </c>
      <c r="J104" s="13">
        <f>Параметры!$C$27</f>
        <v>260416.66666666666</v>
      </c>
      <c r="K104" s="13">
        <f>MAX(0,Параметры!$C$20-Параметры!$C$27*MAX(0,A104-Параметры!$C$11-1))*Параметры!$C$15/12</f>
        <v>185243.05555555553</v>
      </c>
      <c r="L104" s="13">
        <f t="shared" si="20"/>
        <v>3015579.7710048985</v>
      </c>
      <c r="M104" s="13">
        <f>T103*Параметры!$C$10/12</f>
        <v>874556.50996231101</v>
      </c>
      <c r="N104" s="13">
        <f t="shared" si="21"/>
        <v>2141023.2610425875</v>
      </c>
      <c r="O104" s="13">
        <f>MAX(0,N104*Параметры!$C$14)</f>
        <v>428204.65220851754</v>
      </c>
      <c r="P104" s="13">
        <f t="shared" si="22"/>
        <v>1712818.6088340699</v>
      </c>
      <c r="Q104" s="13">
        <v>0</v>
      </c>
      <c r="R104" s="13">
        <v>0</v>
      </c>
      <c r="S104" s="13">
        <f>MAX(0,MIN(Параметры!$C$26-M104,T103))</f>
        <v>367705.44382414361</v>
      </c>
      <c r="T104" s="13">
        <f t="shared" si="23"/>
        <v>69596815.353160739</v>
      </c>
      <c r="U104" s="13">
        <f t="shared" si="24"/>
        <v>791120.53915256495</v>
      </c>
      <c r="V104" s="13">
        <f t="shared" si="25"/>
        <v>-8558131.9305776265</v>
      </c>
    </row>
    <row r="105" spans="1:22" x14ac:dyDescent="0.25">
      <c r="A105" s="14">
        <v>104</v>
      </c>
      <c r="B105" s="14" t="s">
        <v>166</v>
      </c>
      <c r="C105" s="15" t="s">
        <v>73</v>
      </c>
      <c r="D105" s="9">
        <f>Параметры!$C$4*Параметры!$C$7*(1+Параметры!$C$8)^INT((A105-Параметры!$C$11-1)/12)</f>
        <v>4886455.7551441696</v>
      </c>
      <c r="E105" s="9">
        <f>D105/(1+Параметры!$C$13)</f>
        <v>4072046.4626201415</v>
      </c>
      <c r="F105" s="9">
        <f t="shared" si="18"/>
        <v>814409.2925240281</v>
      </c>
      <c r="G105" s="9">
        <f>IF(AND(A105&gt;Параметры!$C$11,A105&lt;=Параметры!$C$11+3),Параметры!$C$28,0)</f>
        <v>0</v>
      </c>
      <c r="H105" s="9">
        <f t="shared" si="19"/>
        <v>814409.2925240281</v>
      </c>
      <c r="I105" s="9">
        <f>E105*Параметры!$C$16</f>
        <v>610806.96939302119</v>
      </c>
      <c r="J105" s="9">
        <f>Параметры!$C$27</f>
        <v>260416.66666666666</v>
      </c>
      <c r="K105" s="9">
        <f>MAX(0,Параметры!$C$20-Параметры!$C$27*MAX(0,A105-Параметры!$C$11-1))*Параметры!$C$15/12</f>
        <v>184765.625</v>
      </c>
      <c r="L105" s="9">
        <f t="shared" si="20"/>
        <v>3016057.201560454</v>
      </c>
      <c r="M105" s="9">
        <f>T104*Параметры!$C$10/12</f>
        <v>869960.19191450917</v>
      </c>
      <c r="N105" s="9">
        <f t="shared" si="21"/>
        <v>2146097.0096459449</v>
      </c>
      <c r="O105" s="9">
        <f>MAX(0,N105*Параметры!$C$14)</f>
        <v>429219.40192918899</v>
      </c>
      <c r="P105" s="9">
        <f t="shared" si="22"/>
        <v>1716877.6077167559</v>
      </c>
      <c r="Q105" s="9">
        <v>0</v>
      </c>
      <c r="R105" s="9">
        <v>0</v>
      </c>
      <c r="S105" s="9">
        <f>MAX(0,MIN(Параметры!$C$26-M105,T104))</f>
        <v>372301.76187194546</v>
      </c>
      <c r="T105" s="9">
        <f t="shared" si="23"/>
        <v>69224513.59128879</v>
      </c>
      <c r="U105" s="9">
        <f t="shared" si="24"/>
        <v>790583.21998744924</v>
      </c>
      <c r="V105" s="9">
        <f t="shared" si="25"/>
        <v>-7767548.7105901772</v>
      </c>
    </row>
    <row r="106" spans="1:22" x14ac:dyDescent="0.25">
      <c r="A106" s="11">
        <v>105</v>
      </c>
      <c r="B106" s="11" t="s">
        <v>167</v>
      </c>
      <c r="C106" s="12" t="s">
        <v>73</v>
      </c>
      <c r="D106" s="13">
        <f>Параметры!$C$4*Параметры!$C$7*(1+Параметры!$C$8)^INT((A106-Параметры!$C$11-1)/12)</f>
        <v>4886455.7551441696</v>
      </c>
      <c r="E106" s="13">
        <f>D106/(1+Параметры!$C$13)</f>
        <v>4072046.4626201415</v>
      </c>
      <c r="F106" s="13">
        <f t="shared" si="18"/>
        <v>814409.2925240281</v>
      </c>
      <c r="G106" s="13">
        <f>IF(AND(A106&gt;Параметры!$C$11,A106&lt;=Параметры!$C$11+3),Параметры!$C$28,0)</f>
        <v>0</v>
      </c>
      <c r="H106" s="13">
        <f t="shared" si="19"/>
        <v>814409.2925240281</v>
      </c>
      <c r="I106" s="13">
        <f>E106*Параметры!$C$16</f>
        <v>610806.96939302119</v>
      </c>
      <c r="J106" s="13">
        <f>Параметры!$C$27</f>
        <v>260416.66666666666</v>
      </c>
      <c r="K106" s="13">
        <f>MAX(0,Параметры!$C$20-Параметры!$C$27*MAX(0,A106-Параметры!$C$11-1))*Параметры!$C$15/12</f>
        <v>184288.19444444447</v>
      </c>
      <c r="L106" s="13">
        <f t="shared" si="20"/>
        <v>3016534.6321160095</v>
      </c>
      <c r="M106" s="13">
        <f>T105*Параметры!$C$10/12</f>
        <v>865306.41989110981</v>
      </c>
      <c r="N106" s="13">
        <f t="shared" si="21"/>
        <v>2151228.2122248998</v>
      </c>
      <c r="O106" s="13">
        <f>MAX(0,N106*Параметры!$C$14)</f>
        <v>430245.64244497998</v>
      </c>
      <c r="P106" s="13">
        <f t="shared" si="22"/>
        <v>1720982.5697799199</v>
      </c>
      <c r="Q106" s="13">
        <v>0</v>
      </c>
      <c r="R106" s="13">
        <v>0</v>
      </c>
      <c r="S106" s="13">
        <f>MAX(0,MIN(Параметры!$C$26-M106,T105))</f>
        <v>376955.53389534482</v>
      </c>
      <c r="T106" s="13">
        <f t="shared" si="23"/>
        <v>68847558.057393447</v>
      </c>
      <c r="U106" s="13">
        <f t="shared" si="24"/>
        <v>790034.41002721386</v>
      </c>
      <c r="V106" s="13">
        <f t="shared" si="25"/>
        <v>-6977514.3005629629</v>
      </c>
    </row>
    <row r="107" spans="1:22" x14ac:dyDescent="0.25">
      <c r="A107" s="14">
        <v>106</v>
      </c>
      <c r="B107" s="14" t="s">
        <v>168</v>
      </c>
      <c r="C107" s="15" t="s">
        <v>73</v>
      </c>
      <c r="D107" s="9">
        <f>Параметры!$C$4*Параметры!$C$7*(1+Параметры!$C$8)^INT((A107-Параметры!$C$11-1)/12)</f>
        <v>4886455.7551441696</v>
      </c>
      <c r="E107" s="9">
        <f>D107/(1+Параметры!$C$13)</f>
        <v>4072046.4626201415</v>
      </c>
      <c r="F107" s="9">
        <f t="shared" si="18"/>
        <v>814409.2925240281</v>
      </c>
      <c r="G107" s="9">
        <f>IF(AND(A107&gt;Параметры!$C$11,A107&lt;=Параметры!$C$11+3),Параметры!$C$28,0)</f>
        <v>0</v>
      </c>
      <c r="H107" s="9">
        <f t="shared" si="19"/>
        <v>814409.2925240281</v>
      </c>
      <c r="I107" s="9">
        <f>E107*Параметры!$C$16</f>
        <v>610806.96939302119</v>
      </c>
      <c r="J107" s="9">
        <f>Параметры!$C$27</f>
        <v>260416.66666666666</v>
      </c>
      <c r="K107" s="9">
        <f>MAX(0,Параметры!$C$20-Параметры!$C$27*MAX(0,A107-Параметры!$C$11-1))*Параметры!$C$15/12</f>
        <v>183810.76388888888</v>
      </c>
      <c r="L107" s="9">
        <f t="shared" si="20"/>
        <v>3017012.062671565</v>
      </c>
      <c r="M107" s="9">
        <f>T106*Параметры!$C$10/12</f>
        <v>860594.47571741801</v>
      </c>
      <c r="N107" s="9">
        <f t="shared" si="21"/>
        <v>2156417.5869541471</v>
      </c>
      <c r="O107" s="9">
        <f>MAX(0,N107*Параметры!$C$14)</f>
        <v>431283.51739082945</v>
      </c>
      <c r="P107" s="9">
        <f t="shared" si="22"/>
        <v>1725134.0695633176</v>
      </c>
      <c r="Q107" s="9">
        <v>0</v>
      </c>
      <c r="R107" s="9">
        <v>0</v>
      </c>
      <c r="S107" s="9">
        <f>MAX(0,MIN(Параметры!$C$26-M107,T106))</f>
        <v>381667.47806903662</v>
      </c>
      <c r="T107" s="9">
        <f t="shared" si="23"/>
        <v>68465890.579324409</v>
      </c>
      <c r="U107" s="9">
        <f t="shared" si="24"/>
        <v>789473.96563691972</v>
      </c>
      <c r="V107" s="9">
        <f t="shared" si="25"/>
        <v>-6188040.3349260427</v>
      </c>
    </row>
    <row r="108" spans="1:22" x14ac:dyDescent="0.25">
      <c r="A108" s="11">
        <v>107</v>
      </c>
      <c r="B108" s="11" t="s">
        <v>169</v>
      </c>
      <c r="C108" s="12" t="s">
        <v>73</v>
      </c>
      <c r="D108" s="13">
        <f>Параметры!$C$4*Параметры!$C$7*(1+Параметры!$C$8)^INT((A108-Параметры!$C$11-1)/12)</f>
        <v>5277372.2155557033</v>
      </c>
      <c r="E108" s="13">
        <f>D108/(1+Параметры!$C$13)</f>
        <v>4397810.1796297533</v>
      </c>
      <c r="F108" s="13">
        <f t="shared" ref="F108:F139" si="26">D108-E108</f>
        <v>879562.03592594992</v>
      </c>
      <c r="G108" s="13">
        <f>IF(AND(A108&gt;Параметры!$C$11,A108&lt;=Параметры!$C$11+3),Параметры!$C$28,0)</f>
        <v>0</v>
      </c>
      <c r="H108" s="13">
        <f t="shared" ref="H108:H139" si="27">F108-G108</f>
        <v>879562.03592594992</v>
      </c>
      <c r="I108" s="13">
        <f>E108*Параметры!$C$16</f>
        <v>659671.52694446302</v>
      </c>
      <c r="J108" s="13">
        <f>Параметры!$C$27</f>
        <v>260416.66666666666</v>
      </c>
      <c r="K108" s="13">
        <f>MAX(0,Параметры!$C$20-Параметры!$C$27*MAX(0,A108-Параметры!$C$11-1))*Параметры!$C$15/12</f>
        <v>183333.33333333334</v>
      </c>
      <c r="L108" s="13">
        <f t="shared" ref="L108:L139" si="28">E108-I108-J108-K108</f>
        <v>3294388.6526852902</v>
      </c>
      <c r="M108" s="13">
        <f>T107*Параметры!$C$10/12</f>
        <v>855823.63224155502</v>
      </c>
      <c r="N108" s="13">
        <f t="shared" ref="N108:N139" si="29">L108-M108</f>
        <v>2438565.0204437352</v>
      </c>
      <c r="O108" s="13">
        <f>MAX(0,N108*Параметры!$C$14)</f>
        <v>487713.00408874708</v>
      </c>
      <c r="P108" s="13">
        <f t="shared" ref="P108:P139" si="30">N108-O108</f>
        <v>1950852.0163549881</v>
      </c>
      <c r="Q108" s="13">
        <v>0</v>
      </c>
      <c r="R108" s="13">
        <v>0</v>
      </c>
      <c r="S108" s="13">
        <f>MAX(0,MIN(Параметры!$C$26-M108,T107))</f>
        <v>386438.32154489961</v>
      </c>
      <c r="T108" s="13">
        <f t="shared" ref="T108:T139" si="31">MAX(0,T107-S108)</f>
        <v>68079452.257779509</v>
      </c>
      <c r="U108" s="13">
        <f t="shared" ref="U108:U139" si="32">P108+J108-S108-H108</f>
        <v>945268.32555080531</v>
      </c>
      <c r="V108" s="13">
        <f t="shared" si="25"/>
        <v>-5242772.0093752369</v>
      </c>
    </row>
    <row r="109" spans="1:22" x14ac:dyDescent="0.25">
      <c r="A109" s="14">
        <v>108</v>
      </c>
      <c r="B109" s="14" t="s">
        <v>170</v>
      </c>
      <c r="C109" s="15" t="s">
        <v>73</v>
      </c>
      <c r="D109" s="9">
        <f>Параметры!$C$4*Параметры!$C$7*(1+Параметры!$C$8)^INT((A109-Параметры!$C$11-1)/12)</f>
        <v>5277372.2155557033</v>
      </c>
      <c r="E109" s="9">
        <f>D109/(1+Параметры!$C$13)</f>
        <v>4397810.1796297533</v>
      </c>
      <c r="F109" s="9">
        <f t="shared" si="26"/>
        <v>879562.03592594992</v>
      </c>
      <c r="G109" s="9">
        <f>IF(AND(A109&gt;Параметры!$C$11,A109&lt;=Параметры!$C$11+3),Параметры!$C$28,0)</f>
        <v>0</v>
      </c>
      <c r="H109" s="9">
        <f t="shared" si="27"/>
        <v>879562.03592594992</v>
      </c>
      <c r="I109" s="9">
        <f>E109*Параметры!$C$16</f>
        <v>659671.52694446302</v>
      </c>
      <c r="J109" s="9">
        <f>Параметры!$C$27</f>
        <v>260416.66666666666</v>
      </c>
      <c r="K109" s="9">
        <f>MAX(0,Параметры!$C$20-Параметры!$C$27*MAX(0,A109-Параметры!$C$11-1))*Параметры!$C$15/12</f>
        <v>182855.90277777778</v>
      </c>
      <c r="L109" s="9">
        <f t="shared" si="28"/>
        <v>3294866.0832408457</v>
      </c>
      <c r="M109" s="9">
        <f>T108*Параметры!$C$10/12</f>
        <v>850993.15322224377</v>
      </c>
      <c r="N109" s="9">
        <f t="shared" si="29"/>
        <v>2443872.9300186019</v>
      </c>
      <c r="O109" s="9">
        <f>MAX(0,N109*Параметры!$C$14)</f>
        <v>488774.58600372041</v>
      </c>
      <c r="P109" s="9">
        <f t="shared" si="30"/>
        <v>1955098.3440148816</v>
      </c>
      <c r="Q109" s="9">
        <v>0</v>
      </c>
      <c r="R109" s="9">
        <v>0</v>
      </c>
      <c r="S109" s="9">
        <f>MAX(0,MIN(Параметры!$C$26-M109,T108))</f>
        <v>391268.80056421086</v>
      </c>
      <c r="T109" s="9">
        <f t="shared" si="31"/>
        <v>67688183.457215294</v>
      </c>
      <c r="U109" s="9">
        <f t="shared" si="32"/>
        <v>944684.17419138737</v>
      </c>
      <c r="V109" s="9">
        <f t="shared" si="25"/>
        <v>-4298087.8351838496</v>
      </c>
    </row>
    <row r="110" spans="1:22" x14ac:dyDescent="0.25">
      <c r="A110" s="11">
        <v>109</v>
      </c>
      <c r="B110" s="11" t="s">
        <v>171</v>
      </c>
      <c r="C110" s="12" t="s">
        <v>73</v>
      </c>
      <c r="D110" s="13">
        <f>Параметры!$C$4*Параметры!$C$7*(1+Параметры!$C$8)^INT((A110-Параметры!$C$11-1)/12)</f>
        <v>5277372.2155557033</v>
      </c>
      <c r="E110" s="13">
        <f>D110/(1+Параметры!$C$13)</f>
        <v>4397810.1796297533</v>
      </c>
      <c r="F110" s="13">
        <f t="shared" si="26"/>
        <v>879562.03592594992</v>
      </c>
      <c r="G110" s="13">
        <f>IF(AND(A110&gt;Параметры!$C$11,A110&lt;=Параметры!$C$11+3),Параметры!$C$28,0)</f>
        <v>0</v>
      </c>
      <c r="H110" s="13">
        <f t="shared" si="27"/>
        <v>879562.03592594992</v>
      </c>
      <c r="I110" s="13">
        <f>E110*Параметры!$C$16</f>
        <v>659671.52694446302</v>
      </c>
      <c r="J110" s="13">
        <f>Параметры!$C$27</f>
        <v>260416.66666666666</v>
      </c>
      <c r="K110" s="13">
        <f>MAX(0,Параметры!$C$20-Параметры!$C$27*MAX(0,A110-Параметры!$C$11-1))*Параметры!$C$15/12</f>
        <v>182378.47222222222</v>
      </c>
      <c r="L110" s="13">
        <f t="shared" si="28"/>
        <v>3295343.5137964017</v>
      </c>
      <c r="M110" s="13">
        <f>T109*Параметры!$C$10/12</f>
        <v>846102.29321519111</v>
      </c>
      <c r="N110" s="13">
        <f t="shared" si="29"/>
        <v>2449241.2205812107</v>
      </c>
      <c r="O110" s="13">
        <f>MAX(0,N110*Параметры!$C$14)</f>
        <v>489848.24411624216</v>
      </c>
      <c r="P110" s="13">
        <f t="shared" si="30"/>
        <v>1959392.9764649686</v>
      </c>
      <c r="Q110" s="13">
        <v>0</v>
      </c>
      <c r="R110" s="13">
        <v>0</v>
      </c>
      <c r="S110" s="13">
        <f>MAX(0,MIN(Параметры!$C$26-M110,T109))</f>
        <v>396159.66057126352</v>
      </c>
      <c r="T110" s="13">
        <f t="shared" si="31"/>
        <v>67292023.796644032</v>
      </c>
      <c r="U110" s="13">
        <f t="shared" si="32"/>
        <v>944087.94663442159</v>
      </c>
      <c r="V110" s="13">
        <f t="shared" si="25"/>
        <v>-3353999.888549428</v>
      </c>
    </row>
    <row r="111" spans="1:22" x14ac:dyDescent="0.25">
      <c r="A111" s="14">
        <v>110</v>
      </c>
      <c r="B111" s="14" t="s">
        <v>172</v>
      </c>
      <c r="C111" s="15" t="s">
        <v>73</v>
      </c>
      <c r="D111" s="9">
        <f>Параметры!$C$4*Параметры!$C$7*(1+Параметры!$C$8)^INT((A111-Параметры!$C$11-1)/12)</f>
        <v>5277372.2155557033</v>
      </c>
      <c r="E111" s="9">
        <f>D111/(1+Параметры!$C$13)</f>
        <v>4397810.1796297533</v>
      </c>
      <c r="F111" s="9">
        <f t="shared" si="26"/>
        <v>879562.03592594992</v>
      </c>
      <c r="G111" s="9">
        <f>IF(AND(A111&gt;Параметры!$C$11,A111&lt;=Параметры!$C$11+3),Параметры!$C$28,0)</f>
        <v>0</v>
      </c>
      <c r="H111" s="9">
        <f t="shared" si="27"/>
        <v>879562.03592594992</v>
      </c>
      <c r="I111" s="9">
        <f>E111*Параметры!$C$16</f>
        <v>659671.52694446302</v>
      </c>
      <c r="J111" s="9">
        <f>Параметры!$C$27</f>
        <v>260416.66666666666</v>
      </c>
      <c r="K111" s="9">
        <f>MAX(0,Параметры!$C$20-Параметры!$C$27*MAX(0,A111-Параметры!$C$11-1))*Параметры!$C$15/12</f>
        <v>181901.04166666666</v>
      </c>
      <c r="L111" s="9">
        <f t="shared" si="28"/>
        <v>3295820.9443519572</v>
      </c>
      <c r="M111" s="9">
        <f>T110*Параметры!$C$10/12</f>
        <v>841150.29745805031</v>
      </c>
      <c r="N111" s="9">
        <f t="shared" si="29"/>
        <v>2454670.6468939069</v>
      </c>
      <c r="O111" s="9">
        <f>MAX(0,N111*Параметры!$C$14)</f>
        <v>490934.12937878142</v>
      </c>
      <c r="P111" s="9">
        <f t="shared" si="30"/>
        <v>1963736.5175151255</v>
      </c>
      <c r="Q111" s="9">
        <v>0</v>
      </c>
      <c r="R111" s="9">
        <v>0</v>
      </c>
      <c r="S111" s="9">
        <f>MAX(0,MIN(Параметры!$C$26-M111,T110))</f>
        <v>401111.65632840432</v>
      </c>
      <c r="T111" s="9">
        <f t="shared" si="31"/>
        <v>66890912.14031563</v>
      </c>
      <c r="U111" s="9">
        <f t="shared" si="32"/>
        <v>943479.49192743795</v>
      </c>
      <c r="V111" s="9">
        <f t="shared" si="25"/>
        <v>-2410520.39662199</v>
      </c>
    </row>
    <row r="112" spans="1:22" x14ac:dyDescent="0.25">
      <c r="A112" s="11">
        <v>111</v>
      </c>
      <c r="B112" s="11" t="s">
        <v>173</v>
      </c>
      <c r="C112" s="12" t="s">
        <v>73</v>
      </c>
      <c r="D112" s="13">
        <f>Параметры!$C$4*Параметры!$C$7*(1+Параметры!$C$8)^INT((A112-Параметры!$C$11-1)/12)</f>
        <v>5277372.2155557033</v>
      </c>
      <c r="E112" s="13">
        <f>D112/(1+Параметры!$C$13)</f>
        <v>4397810.1796297533</v>
      </c>
      <c r="F112" s="13">
        <f t="shared" si="26"/>
        <v>879562.03592594992</v>
      </c>
      <c r="G112" s="13">
        <f>IF(AND(A112&gt;Параметры!$C$11,A112&lt;=Параметры!$C$11+3),Параметры!$C$28,0)</f>
        <v>0</v>
      </c>
      <c r="H112" s="13">
        <f t="shared" si="27"/>
        <v>879562.03592594992</v>
      </c>
      <c r="I112" s="13">
        <f>E112*Параметры!$C$16</f>
        <v>659671.52694446302</v>
      </c>
      <c r="J112" s="13">
        <f>Параметры!$C$27</f>
        <v>260416.66666666666</v>
      </c>
      <c r="K112" s="13">
        <f>MAX(0,Параметры!$C$20-Параметры!$C$27*MAX(0,A112-Параметры!$C$11-1))*Параметры!$C$15/12</f>
        <v>181423.61111111112</v>
      </c>
      <c r="L112" s="13">
        <f t="shared" si="28"/>
        <v>3296298.3749075127</v>
      </c>
      <c r="M112" s="13">
        <f>T111*Параметры!$C$10/12</f>
        <v>836136.40175394528</v>
      </c>
      <c r="N112" s="13">
        <f t="shared" si="29"/>
        <v>2460161.9731535674</v>
      </c>
      <c r="O112" s="13">
        <f>MAX(0,N112*Параметры!$C$14)</f>
        <v>492032.3946307135</v>
      </c>
      <c r="P112" s="13">
        <f t="shared" si="30"/>
        <v>1968129.578522854</v>
      </c>
      <c r="Q112" s="13">
        <v>0</v>
      </c>
      <c r="R112" s="13">
        <v>0</v>
      </c>
      <c r="S112" s="13">
        <f>MAX(0,MIN(Параметры!$C$26-M112,T111))</f>
        <v>406125.55203250935</v>
      </c>
      <c r="T112" s="13">
        <f t="shared" si="31"/>
        <v>66484786.588283122</v>
      </c>
      <c r="U112" s="13">
        <f t="shared" si="32"/>
        <v>942858.65723106125</v>
      </c>
      <c r="V112" s="13">
        <f t="shared" si="25"/>
        <v>-1467661.7393909288</v>
      </c>
    </row>
    <row r="113" spans="1:22" x14ac:dyDescent="0.25">
      <c r="A113" s="14">
        <v>112</v>
      </c>
      <c r="B113" s="14" t="s">
        <v>174</v>
      </c>
      <c r="C113" s="15" t="s">
        <v>73</v>
      </c>
      <c r="D113" s="9">
        <f>Параметры!$C$4*Параметры!$C$7*(1+Параметры!$C$8)^INT((A113-Параметры!$C$11-1)/12)</f>
        <v>5277372.2155557033</v>
      </c>
      <c r="E113" s="9">
        <f>D113/(1+Параметры!$C$13)</f>
        <v>4397810.1796297533</v>
      </c>
      <c r="F113" s="9">
        <f t="shared" si="26"/>
        <v>879562.03592594992</v>
      </c>
      <c r="G113" s="9">
        <f>IF(AND(A113&gt;Параметры!$C$11,A113&lt;=Параметры!$C$11+3),Параметры!$C$28,0)</f>
        <v>0</v>
      </c>
      <c r="H113" s="9">
        <f t="shared" si="27"/>
        <v>879562.03592594992</v>
      </c>
      <c r="I113" s="9">
        <f>E113*Параметры!$C$16</f>
        <v>659671.52694446302</v>
      </c>
      <c r="J113" s="9">
        <f>Параметры!$C$27</f>
        <v>260416.66666666666</v>
      </c>
      <c r="K113" s="9">
        <f>MAX(0,Параметры!$C$20-Параметры!$C$27*MAX(0,A113-Параметры!$C$11-1))*Параметры!$C$15/12</f>
        <v>180946.18055555553</v>
      </c>
      <c r="L113" s="9">
        <f t="shared" si="28"/>
        <v>3296775.8054630682</v>
      </c>
      <c r="M113" s="9">
        <f>T112*Параметры!$C$10/12</f>
        <v>831059.83235353895</v>
      </c>
      <c r="N113" s="9">
        <f t="shared" si="29"/>
        <v>2465715.9731095294</v>
      </c>
      <c r="O113" s="9">
        <f>MAX(0,N113*Параметры!$C$14)</f>
        <v>493143.19462190592</v>
      </c>
      <c r="P113" s="9">
        <f t="shared" si="30"/>
        <v>1972572.7784876234</v>
      </c>
      <c r="Q113" s="9">
        <v>0</v>
      </c>
      <c r="R113" s="9">
        <v>0</v>
      </c>
      <c r="S113" s="9">
        <f>MAX(0,MIN(Параметры!$C$26-M113,T112))</f>
        <v>411202.12143291568</v>
      </c>
      <c r="T113" s="9">
        <f t="shared" si="31"/>
        <v>66073584.466850206</v>
      </c>
      <c r="U113" s="9">
        <f t="shared" si="32"/>
        <v>942225.28779542446</v>
      </c>
      <c r="V113" s="9">
        <f t="shared" si="25"/>
        <v>-525436.4515955043</v>
      </c>
    </row>
    <row r="114" spans="1:22" x14ac:dyDescent="0.25">
      <c r="A114" s="11">
        <v>113</v>
      </c>
      <c r="B114" s="11" t="s">
        <v>175</v>
      </c>
      <c r="C114" s="12" t="s">
        <v>73</v>
      </c>
      <c r="D114" s="13">
        <f>Параметры!$C$4*Параметры!$C$7*(1+Параметры!$C$8)^INT((A114-Параметры!$C$11-1)/12)</f>
        <v>5277372.2155557033</v>
      </c>
      <c r="E114" s="13">
        <f>D114/(1+Параметры!$C$13)</f>
        <v>4397810.1796297533</v>
      </c>
      <c r="F114" s="13">
        <f t="shared" si="26"/>
        <v>879562.03592594992</v>
      </c>
      <c r="G114" s="13">
        <f>IF(AND(A114&gt;Параметры!$C$11,A114&lt;=Параметры!$C$11+3),Параметры!$C$28,0)</f>
        <v>0</v>
      </c>
      <c r="H114" s="13">
        <f t="shared" si="27"/>
        <v>879562.03592594992</v>
      </c>
      <c r="I114" s="13">
        <f>E114*Параметры!$C$16</f>
        <v>659671.52694446302</v>
      </c>
      <c r="J114" s="13">
        <f>Параметры!$C$27</f>
        <v>260416.66666666666</v>
      </c>
      <c r="K114" s="13">
        <f>MAX(0,Параметры!$C$20-Параметры!$C$27*MAX(0,A114-Параметры!$C$11-1))*Параметры!$C$15/12</f>
        <v>180468.75</v>
      </c>
      <c r="L114" s="13">
        <f t="shared" si="28"/>
        <v>3297253.2360186237</v>
      </c>
      <c r="M114" s="13">
        <f>T113*Параметры!$C$10/12</f>
        <v>825919.80583562749</v>
      </c>
      <c r="N114" s="13">
        <f t="shared" si="29"/>
        <v>2471333.4301829962</v>
      </c>
      <c r="O114" s="13">
        <f>MAX(0,N114*Параметры!$C$14)</f>
        <v>494266.68603659928</v>
      </c>
      <c r="P114" s="13">
        <f t="shared" si="30"/>
        <v>1977066.7441463969</v>
      </c>
      <c r="Q114" s="13">
        <v>0</v>
      </c>
      <c r="R114" s="13">
        <v>0</v>
      </c>
      <c r="S114" s="13">
        <f>MAX(0,MIN(Параметры!$C$26-M114,T113))</f>
        <v>416342.14795082714</v>
      </c>
      <c r="T114" s="13">
        <f t="shared" si="31"/>
        <v>65657242.318899378</v>
      </c>
      <c r="U114" s="13">
        <f t="shared" si="32"/>
        <v>941579.22693628632</v>
      </c>
      <c r="V114" s="13">
        <f t="shared" si="25"/>
        <v>416142.77534078201</v>
      </c>
    </row>
    <row r="115" spans="1:22" x14ac:dyDescent="0.25">
      <c r="A115" s="14">
        <v>114</v>
      </c>
      <c r="B115" s="14" t="s">
        <v>176</v>
      </c>
      <c r="C115" s="15" t="s">
        <v>73</v>
      </c>
      <c r="D115" s="9">
        <f>Параметры!$C$4*Параметры!$C$7*(1+Параметры!$C$8)^INT((A115-Параметры!$C$11-1)/12)</f>
        <v>5277372.2155557033</v>
      </c>
      <c r="E115" s="9">
        <f>D115/(1+Параметры!$C$13)</f>
        <v>4397810.1796297533</v>
      </c>
      <c r="F115" s="9">
        <f t="shared" si="26"/>
        <v>879562.03592594992</v>
      </c>
      <c r="G115" s="9">
        <f>IF(AND(A115&gt;Параметры!$C$11,A115&lt;=Параметры!$C$11+3),Параметры!$C$28,0)</f>
        <v>0</v>
      </c>
      <c r="H115" s="9">
        <f t="shared" si="27"/>
        <v>879562.03592594992</v>
      </c>
      <c r="I115" s="9">
        <f>E115*Параметры!$C$16</f>
        <v>659671.52694446302</v>
      </c>
      <c r="J115" s="9">
        <f>Параметры!$C$27</f>
        <v>260416.66666666666</v>
      </c>
      <c r="K115" s="9">
        <f>MAX(0,Параметры!$C$20-Параметры!$C$27*MAX(0,A115-Параметры!$C$11-1))*Параметры!$C$15/12</f>
        <v>179991.31944444447</v>
      </c>
      <c r="L115" s="9">
        <f t="shared" si="28"/>
        <v>3297730.6665741792</v>
      </c>
      <c r="M115" s="9">
        <f>T114*Параметры!$C$10/12</f>
        <v>820715.52898624213</v>
      </c>
      <c r="N115" s="9">
        <f t="shared" si="29"/>
        <v>2477015.1375879371</v>
      </c>
      <c r="O115" s="9">
        <f>MAX(0,N115*Параметры!$C$14)</f>
        <v>495403.02751758741</v>
      </c>
      <c r="P115" s="9">
        <f t="shared" si="30"/>
        <v>1981612.1100703496</v>
      </c>
      <c r="Q115" s="9">
        <v>0</v>
      </c>
      <c r="R115" s="9">
        <v>0</v>
      </c>
      <c r="S115" s="9">
        <f>MAX(0,MIN(Параметры!$C$26-M115,T114))</f>
        <v>421546.4248002125</v>
      </c>
      <c r="T115" s="9">
        <f t="shared" si="31"/>
        <v>65235695.894099168</v>
      </c>
      <c r="U115" s="9">
        <f t="shared" si="32"/>
        <v>940920.31601085374</v>
      </c>
      <c r="V115" s="9">
        <f t="shared" si="25"/>
        <v>1357063.0913516358</v>
      </c>
    </row>
    <row r="116" spans="1:22" x14ac:dyDescent="0.25">
      <c r="A116" s="11">
        <v>115</v>
      </c>
      <c r="B116" s="11" t="s">
        <v>177</v>
      </c>
      <c r="C116" s="12" t="s">
        <v>73</v>
      </c>
      <c r="D116" s="13">
        <f>Параметры!$C$4*Параметры!$C$7*(1+Параметры!$C$8)^INT((A116-Параметры!$C$11-1)/12)</f>
        <v>5277372.2155557033</v>
      </c>
      <c r="E116" s="13">
        <f>D116/(1+Параметры!$C$13)</f>
        <v>4397810.1796297533</v>
      </c>
      <c r="F116" s="13">
        <f t="shared" si="26"/>
        <v>879562.03592594992</v>
      </c>
      <c r="G116" s="13">
        <f>IF(AND(A116&gt;Параметры!$C$11,A116&lt;=Параметры!$C$11+3),Параметры!$C$28,0)</f>
        <v>0</v>
      </c>
      <c r="H116" s="13">
        <f t="shared" si="27"/>
        <v>879562.03592594992</v>
      </c>
      <c r="I116" s="13">
        <f>E116*Параметры!$C$16</f>
        <v>659671.52694446302</v>
      </c>
      <c r="J116" s="13">
        <f>Параметры!$C$27</f>
        <v>260416.66666666666</v>
      </c>
      <c r="K116" s="13">
        <f>MAX(0,Параметры!$C$20-Параметры!$C$27*MAX(0,A116-Параметры!$C$11-1))*Параметры!$C$15/12</f>
        <v>179513.88888888888</v>
      </c>
      <c r="L116" s="13">
        <f t="shared" si="28"/>
        <v>3298208.0971297347</v>
      </c>
      <c r="M116" s="13">
        <f>T115*Параметры!$C$10/12</f>
        <v>815446.19867623958</v>
      </c>
      <c r="N116" s="13">
        <f t="shared" si="29"/>
        <v>2482761.898453495</v>
      </c>
      <c r="O116" s="13">
        <f>MAX(0,N116*Параметры!$C$14)</f>
        <v>496552.37969069905</v>
      </c>
      <c r="P116" s="13">
        <f t="shared" si="30"/>
        <v>1986209.518762796</v>
      </c>
      <c r="Q116" s="13">
        <v>0</v>
      </c>
      <c r="R116" s="13">
        <v>0</v>
      </c>
      <c r="S116" s="13">
        <f>MAX(0,MIN(Параметры!$C$26-M116,T115))</f>
        <v>426815.75511021505</v>
      </c>
      <c r="T116" s="13">
        <f t="shared" si="31"/>
        <v>64808880.138988957</v>
      </c>
      <c r="U116" s="13">
        <f t="shared" si="32"/>
        <v>940248.39439329784</v>
      </c>
      <c r="V116" s="13">
        <f t="shared" si="25"/>
        <v>2297311.4857449336</v>
      </c>
    </row>
    <row r="117" spans="1:22" x14ac:dyDescent="0.25">
      <c r="A117" s="14">
        <v>116</v>
      </c>
      <c r="B117" s="14" t="s">
        <v>178</v>
      </c>
      <c r="C117" s="15" t="s">
        <v>73</v>
      </c>
      <c r="D117" s="9">
        <f>Параметры!$C$4*Параметры!$C$7*(1+Параметры!$C$8)^INT((A117-Параметры!$C$11-1)/12)</f>
        <v>5277372.2155557033</v>
      </c>
      <c r="E117" s="9">
        <f>D117/(1+Параметры!$C$13)</f>
        <v>4397810.1796297533</v>
      </c>
      <c r="F117" s="9">
        <f t="shared" si="26"/>
        <v>879562.03592594992</v>
      </c>
      <c r="G117" s="9">
        <f>IF(AND(A117&gt;Параметры!$C$11,A117&lt;=Параметры!$C$11+3),Параметры!$C$28,0)</f>
        <v>0</v>
      </c>
      <c r="H117" s="9">
        <f t="shared" si="27"/>
        <v>879562.03592594992</v>
      </c>
      <c r="I117" s="9">
        <f>E117*Параметры!$C$16</f>
        <v>659671.52694446302</v>
      </c>
      <c r="J117" s="9">
        <f>Параметры!$C$27</f>
        <v>260416.66666666666</v>
      </c>
      <c r="K117" s="9">
        <f>MAX(0,Параметры!$C$20-Параметры!$C$27*MAX(0,A117-Параметры!$C$11-1))*Параметры!$C$15/12</f>
        <v>179036.45833333334</v>
      </c>
      <c r="L117" s="9">
        <f t="shared" si="28"/>
        <v>3298685.5276852902</v>
      </c>
      <c r="M117" s="9">
        <f>T116*Параметры!$C$10/12</f>
        <v>810111.00173736189</v>
      </c>
      <c r="N117" s="9">
        <f t="shared" si="29"/>
        <v>2488574.5259479284</v>
      </c>
      <c r="O117" s="9">
        <f>MAX(0,N117*Параметры!$C$14)</f>
        <v>497714.9051895857</v>
      </c>
      <c r="P117" s="9">
        <f t="shared" si="30"/>
        <v>1990859.6207583428</v>
      </c>
      <c r="Q117" s="9">
        <v>0</v>
      </c>
      <c r="R117" s="9">
        <v>0</v>
      </c>
      <c r="S117" s="9">
        <f>MAX(0,MIN(Параметры!$C$26-M117,T116))</f>
        <v>432150.95204909274</v>
      </c>
      <c r="T117" s="9">
        <f t="shared" si="31"/>
        <v>64376729.186939865</v>
      </c>
      <c r="U117" s="9">
        <f t="shared" si="32"/>
        <v>939563.29944996675</v>
      </c>
      <c r="V117" s="9">
        <f t="shared" si="25"/>
        <v>3236874.7851949004</v>
      </c>
    </row>
    <row r="118" spans="1:22" x14ac:dyDescent="0.25">
      <c r="A118" s="11">
        <v>117</v>
      </c>
      <c r="B118" s="11" t="s">
        <v>179</v>
      </c>
      <c r="C118" s="12" t="s">
        <v>73</v>
      </c>
      <c r="D118" s="13">
        <f>Параметры!$C$4*Параметры!$C$7*(1+Параметры!$C$8)^INT((A118-Параметры!$C$11-1)/12)</f>
        <v>5277372.2155557033</v>
      </c>
      <c r="E118" s="13">
        <f>D118/(1+Параметры!$C$13)</f>
        <v>4397810.1796297533</v>
      </c>
      <c r="F118" s="13">
        <f t="shared" si="26"/>
        <v>879562.03592594992</v>
      </c>
      <c r="G118" s="13">
        <f>IF(AND(A118&gt;Параметры!$C$11,A118&lt;=Параметры!$C$11+3),Параметры!$C$28,0)</f>
        <v>0</v>
      </c>
      <c r="H118" s="13">
        <f t="shared" si="27"/>
        <v>879562.03592594992</v>
      </c>
      <c r="I118" s="13">
        <f>E118*Параметры!$C$16</f>
        <v>659671.52694446302</v>
      </c>
      <c r="J118" s="13">
        <f>Параметры!$C$27</f>
        <v>260416.66666666666</v>
      </c>
      <c r="K118" s="13">
        <f>MAX(0,Параметры!$C$20-Параметры!$C$27*MAX(0,A118-Параметры!$C$11-1))*Параметры!$C$15/12</f>
        <v>178559.02777777778</v>
      </c>
      <c r="L118" s="13">
        <f t="shared" si="28"/>
        <v>3299162.9582408457</v>
      </c>
      <c r="M118" s="13">
        <f>T117*Параметры!$C$10/12</f>
        <v>804709.11483674822</v>
      </c>
      <c r="N118" s="13">
        <f t="shared" si="29"/>
        <v>2494453.8434040975</v>
      </c>
      <c r="O118" s="13">
        <f>MAX(0,N118*Параметры!$C$14)</f>
        <v>498890.76868081954</v>
      </c>
      <c r="P118" s="13">
        <f t="shared" si="30"/>
        <v>1995563.0747232779</v>
      </c>
      <c r="Q118" s="13">
        <v>0</v>
      </c>
      <c r="R118" s="13">
        <v>0</v>
      </c>
      <c r="S118" s="13">
        <f>MAX(0,MIN(Параметры!$C$26-M118,T117))</f>
        <v>437552.83894970641</v>
      </c>
      <c r="T118" s="13">
        <f t="shared" si="31"/>
        <v>63939176.347990155</v>
      </c>
      <c r="U118" s="13">
        <f t="shared" si="32"/>
        <v>938864.86651428835</v>
      </c>
      <c r="V118" s="13">
        <f t="shared" si="25"/>
        <v>4175739.6517091887</v>
      </c>
    </row>
    <row r="119" spans="1:22" x14ac:dyDescent="0.25">
      <c r="A119" s="14">
        <v>118</v>
      </c>
      <c r="B119" s="14" t="s">
        <v>180</v>
      </c>
      <c r="C119" s="15" t="s">
        <v>73</v>
      </c>
      <c r="D119" s="9">
        <f>Параметры!$C$4*Параметры!$C$7*(1+Параметры!$C$8)^INT((A119-Параметры!$C$11-1)/12)</f>
        <v>5277372.2155557033</v>
      </c>
      <c r="E119" s="9">
        <f>D119/(1+Параметры!$C$13)</f>
        <v>4397810.1796297533</v>
      </c>
      <c r="F119" s="9">
        <f t="shared" si="26"/>
        <v>879562.03592594992</v>
      </c>
      <c r="G119" s="9">
        <f>IF(AND(A119&gt;Параметры!$C$11,A119&lt;=Параметры!$C$11+3),Параметры!$C$28,0)</f>
        <v>0</v>
      </c>
      <c r="H119" s="9">
        <f t="shared" si="27"/>
        <v>879562.03592594992</v>
      </c>
      <c r="I119" s="9">
        <f>E119*Параметры!$C$16</f>
        <v>659671.52694446302</v>
      </c>
      <c r="J119" s="9">
        <f>Параметры!$C$27</f>
        <v>260416.66666666666</v>
      </c>
      <c r="K119" s="9">
        <f>MAX(0,Параметры!$C$20-Параметры!$C$27*MAX(0,A119-Параметры!$C$11-1))*Параметры!$C$15/12</f>
        <v>178081.59722222222</v>
      </c>
      <c r="L119" s="9">
        <f t="shared" si="28"/>
        <v>3299640.3887964017</v>
      </c>
      <c r="M119" s="9">
        <f>T118*Параметры!$C$10/12</f>
        <v>799239.70434987685</v>
      </c>
      <c r="N119" s="9">
        <f t="shared" si="29"/>
        <v>2500400.6844465248</v>
      </c>
      <c r="O119" s="9">
        <f>MAX(0,N119*Параметры!$C$14)</f>
        <v>500080.13688930497</v>
      </c>
      <c r="P119" s="9">
        <f t="shared" si="30"/>
        <v>2000320.5475572199</v>
      </c>
      <c r="Q119" s="9">
        <v>0</v>
      </c>
      <c r="R119" s="9">
        <v>0</v>
      </c>
      <c r="S119" s="9">
        <f>MAX(0,MIN(Параметры!$C$26-M119,T118))</f>
        <v>443022.24943657778</v>
      </c>
      <c r="T119" s="9">
        <f t="shared" si="31"/>
        <v>63496154.098553576</v>
      </c>
      <c r="U119" s="9">
        <f t="shared" si="32"/>
        <v>938152.92886135867</v>
      </c>
      <c r="V119" s="9">
        <f t="shared" si="25"/>
        <v>5113892.5805705469</v>
      </c>
    </row>
    <row r="120" spans="1:22" x14ac:dyDescent="0.25">
      <c r="A120" s="11">
        <v>119</v>
      </c>
      <c r="B120" s="11" t="s">
        <v>181</v>
      </c>
      <c r="C120" s="12" t="s">
        <v>73</v>
      </c>
      <c r="D120" s="13">
        <f>Параметры!$C$4*Параметры!$C$7*(1+Параметры!$C$8)^INT((A120-Параметры!$C$11-1)/12)</f>
        <v>5699561.9928001594</v>
      </c>
      <c r="E120" s="13">
        <f>D120/(1+Параметры!$C$13)</f>
        <v>4749634.9940001331</v>
      </c>
      <c r="F120" s="13">
        <f t="shared" si="26"/>
        <v>949926.99880002625</v>
      </c>
      <c r="G120" s="13">
        <f>IF(AND(A120&gt;Параметры!$C$11,A120&lt;=Параметры!$C$11+3),Параметры!$C$28,0)</f>
        <v>0</v>
      </c>
      <c r="H120" s="13">
        <f t="shared" si="27"/>
        <v>949926.99880002625</v>
      </c>
      <c r="I120" s="13">
        <f>E120*Параметры!$C$16</f>
        <v>712445.24910001992</v>
      </c>
      <c r="J120" s="13">
        <f>Параметры!$C$27</f>
        <v>260416.66666666666</v>
      </c>
      <c r="K120" s="13">
        <f>MAX(0,Параметры!$C$20-Параметры!$C$27*MAX(0,A120-Параметры!$C$11-1))*Параметры!$C$15/12</f>
        <v>177604.16666666666</v>
      </c>
      <c r="L120" s="13">
        <f t="shared" si="28"/>
        <v>3599168.9115667799</v>
      </c>
      <c r="M120" s="13">
        <f>T119*Параметры!$C$10/12</f>
        <v>793701.92623191967</v>
      </c>
      <c r="N120" s="13">
        <f t="shared" si="29"/>
        <v>2805466.9853348602</v>
      </c>
      <c r="O120" s="13">
        <f>MAX(0,N120*Параметры!$C$14)</f>
        <v>561093.3970669721</v>
      </c>
      <c r="P120" s="13">
        <f t="shared" si="30"/>
        <v>2244373.5882678879</v>
      </c>
      <c r="Q120" s="13">
        <v>0</v>
      </c>
      <c r="R120" s="13">
        <v>0</v>
      </c>
      <c r="S120" s="13">
        <f>MAX(0,MIN(Параметры!$C$26-M120,T119))</f>
        <v>448560.02755453496</v>
      </c>
      <c r="T120" s="13">
        <f t="shared" si="31"/>
        <v>63047594.070999041</v>
      </c>
      <c r="U120" s="13">
        <f t="shared" si="32"/>
        <v>1106303.2285799934</v>
      </c>
      <c r="V120" s="13">
        <f t="shared" si="25"/>
        <v>6220195.8091505403</v>
      </c>
    </row>
    <row r="121" spans="1:22" x14ac:dyDescent="0.25">
      <c r="A121" s="14">
        <v>120</v>
      </c>
      <c r="B121" s="14" t="s">
        <v>182</v>
      </c>
      <c r="C121" s="15" t="s">
        <v>73</v>
      </c>
      <c r="D121" s="9">
        <f>Параметры!$C$4*Параметры!$C$7*(1+Параметры!$C$8)^INT((A121-Параметры!$C$11-1)/12)</f>
        <v>5699561.9928001594</v>
      </c>
      <c r="E121" s="9">
        <f>D121/(1+Параметры!$C$13)</f>
        <v>4749634.9940001331</v>
      </c>
      <c r="F121" s="9">
        <f t="shared" si="26"/>
        <v>949926.99880002625</v>
      </c>
      <c r="G121" s="9">
        <f>IF(AND(A121&gt;Параметры!$C$11,A121&lt;=Параметры!$C$11+3),Параметры!$C$28,0)</f>
        <v>0</v>
      </c>
      <c r="H121" s="9">
        <f t="shared" si="27"/>
        <v>949926.99880002625</v>
      </c>
      <c r="I121" s="9">
        <f>E121*Параметры!$C$16</f>
        <v>712445.24910001992</v>
      </c>
      <c r="J121" s="9">
        <f>Параметры!$C$27</f>
        <v>260416.66666666666</v>
      </c>
      <c r="K121" s="9">
        <f>MAX(0,Параметры!$C$20-Параметры!$C$27*MAX(0,A121-Параметры!$C$11-1))*Параметры!$C$15/12</f>
        <v>177126.73611111112</v>
      </c>
      <c r="L121" s="9">
        <f t="shared" si="28"/>
        <v>3599646.3421223355</v>
      </c>
      <c r="M121" s="9">
        <f>T120*Параметры!$C$10/12</f>
        <v>788094.92588748795</v>
      </c>
      <c r="N121" s="9">
        <f t="shared" si="29"/>
        <v>2811551.4162348476</v>
      </c>
      <c r="O121" s="9">
        <f>MAX(0,N121*Параметры!$C$14)</f>
        <v>562310.28324696957</v>
      </c>
      <c r="P121" s="9">
        <f t="shared" si="30"/>
        <v>2249241.1329878783</v>
      </c>
      <c r="Q121" s="9">
        <v>0</v>
      </c>
      <c r="R121" s="9">
        <v>0</v>
      </c>
      <c r="S121" s="9">
        <f>MAX(0,MIN(Параметры!$C$26-M121,T120))</f>
        <v>454167.02789896668</v>
      </c>
      <c r="T121" s="9">
        <f t="shared" si="31"/>
        <v>62593427.043100074</v>
      </c>
      <c r="U121" s="9">
        <f t="shared" si="32"/>
        <v>1105563.7729555517</v>
      </c>
      <c r="V121" s="9">
        <f t="shared" si="25"/>
        <v>7325759.582106092</v>
      </c>
    </row>
    <row r="122" spans="1:22" x14ac:dyDescent="0.25">
      <c r="A122" s="11">
        <v>121</v>
      </c>
      <c r="B122" s="11" t="s">
        <v>183</v>
      </c>
      <c r="C122" s="12" t="s">
        <v>73</v>
      </c>
      <c r="D122" s="13">
        <f>Параметры!$C$4*Параметры!$C$7*(1+Параметры!$C$8)^INT((A122-Параметры!$C$11-1)/12)</f>
        <v>5699561.9928001594</v>
      </c>
      <c r="E122" s="13">
        <f>D122/(1+Параметры!$C$13)</f>
        <v>4749634.9940001331</v>
      </c>
      <c r="F122" s="13">
        <f t="shared" si="26"/>
        <v>949926.99880002625</v>
      </c>
      <c r="G122" s="13">
        <f>IF(AND(A122&gt;Параметры!$C$11,A122&lt;=Параметры!$C$11+3),Параметры!$C$28,0)</f>
        <v>0</v>
      </c>
      <c r="H122" s="13">
        <f t="shared" si="27"/>
        <v>949926.99880002625</v>
      </c>
      <c r="I122" s="13">
        <f>E122*Параметры!$C$16</f>
        <v>712445.24910001992</v>
      </c>
      <c r="J122" s="13">
        <f>Параметры!$C$27</f>
        <v>260416.66666666666</v>
      </c>
      <c r="K122" s="13">
        <f>MAX(0,Параметры!$C$20-Параметры!$C$27*MAX(0,A122-Параметры!$C$11-1))*Параметры!$C$15/12</f>
        <v>176649.30555555553</v>
      </c>
      <c r="L122" s="13">
        <f t="shared" si="28"/>
        <v>3600123.772677891</v>
      </c>
      <c r="M122" s="13">
        <f>T121*Параметры!$C$10/12</f>
        <v>782417.83803875092</v>
      </c>
      <c r="N122" s="13">
        <f t="shared" si="29"/>
        <v>2817705.93463914</v>
      </c>
      <c r="O122" s="13">
        <f>MAX(0,N122*Параметры!$C$14)</f>
        <v>563541.18692782801</v>
      </c>
      <c r="P122" s="13">
        <f t="shared" si="30"/>
        <v>2254164.747711312</v>
      </c>
      <c r="Q122" s="13">
        <v>0</v>
      </c>
      <c r="R122" s="13">
        <v>0</v>
      </c>
      <c r="S122" s="13">
        <f>MAX(0,MIN(Параметры!$C$26-M122,T121))</f>
        <v>459844.1157477037</v>
      </c>
      <c r="T122" s="13">
        <f t="shared" si="31"/>
        <v>62133582.927352369</v>
      </c>
      <c r="U122" s="13">
        <f t="shared" si="32"/>
        <v>1104810.2998302486</v>
      </c>
      <c r="V122" s="13">
        <f t="shared" si="25"/>
        <v>8430569.8819363415</v>
      </c>
    </row>
    <row r="123" spans="1:22" x14ac:dyDescent="0.25">
      <c r="A123" s="14">
        <v>122</v>
      </c>
      <c r="B123" s="14" t="s">
        <v>184</v>
      </c>
      <c r="C123" s="15" t="s">
        <v>73</v>
      </c>
      <c r="D123" s="9">
        <f>Параметры!$C$4*Параметры!$C$7*(1+Параметры!$C$8)^INT((A123-Параметры!$C$11-1)/12)</f>
        <v>5699561.9928001594</v>
      </c>
      <c r="E123" s="9">
        <f>D123/(1+Параметры!$C$13)</f>
        <v>4749634.9940001331</v>
      </c>
      <c r="F123" s="9">
        <f t="shared" si="26"/>
        <v>949926.99880002625</v>
      </c>
      <c r="G123" s="9">
        <f>IF(AND(A123&gt;Параметры!$C$11,A123&lt;=Параметры!$C$11+3),Параметры!$C$28,0)</f>
        <v>0</v>
      </c>
      <c r="H123" s="9">
        <f t="shared" si="27"/>
        <v>949926.99880002625</v>
      </c>
      <c r="I123" s="9">
        <f>E123*Параметры!$C$16</f>
        <v>712445.24910001992</v>
      </c>
      <c r="J123" s="9">
        <f>Параметры!$C$27</f>
        <v>260416.66666666666</v>
      </c>
      <c r="K123" s="9">
        <f>MAX(0,Параметры!$C$20-Параметры!$C$27*MAX(0,A123-Параметры!$C$11-1))*Параметры!$C$15/12</f>
        <v>176171.875</v>
      </c>
      <c r="L123" s="9">
        <f t="shared" si="28"/>
        <v>3600601.2032334465</v>
      </c>
      <c r="M123" s="9">
        <f>T122*Параметры!$C$10/12</f>
        <v>776669.78659190459</v>
      </c>
      <c r="N123" s="9">
        <f t="shared" si="29"/>
        <v>2823931.4166415418</v>
      </c>
      <c r="O123" s="9">
        <f>MAX(0,N123*Параметры!$C$14)</f>
        <v>564786.28332830837</v>
      </c>
      <c r="P123" s="9">
        <f t="shared" si="30"/>
        <v>2259145.1333132335</v>
      </c>
      <c r="Q123" s="9">
        <v>0</v>
      </c>
      <c r="R123" s="9">
        <v>0</v>
      </c>
      <c r="S123" s="9">
        <f>MAX(0,MIN(Параметры!$C$26-M123,T122))</f>
        <v>465592.16719455004</v>
      </c>
      <c r="T123" s="9">
        <f t="shared" si="31"/>
        <v>61667990.760157816</v>
      </c>
      <c r="U123" s="9">
        <f t="shared" si="32"/>
        <v>1104042.6339853238</v>
      </c>
      <c r="V123" s="9">
        <f t="shared" si="25"/>
        <v>9534612.5159216654</v>
      </c>
    </row>
    <row r="124" spans="1:22" x14ac:dyDescent="0.25">
      <c r="A124" s="11">
        <v>123</v>
      </c>
      <c r="B124" s="11" t="s">
        <v>185</v>
      </c>
      <c r="C124" s="12" t="s">
        <v>73</v>
      </c>
      <c r="D124" s="13">
        <f>Параметры!$C$4*Параметры!$C$7*(1+Параметры!$C$8)^INT((A124-Параметры!$C$11-1)/12)</f>
        <v>5699561.9928001594</v>
      </c>
      <c r="E124" s="13">
        <f>D124/(1+Параметры!$C$13)</f>
        <v>4749634.9940001331</v>
      </c>
      <c r="F124" s="13">
        <f t="shared" si="26"/>
        <v>949926.99880002625</v>
      </c>
      <c r="G124" s="13">
        <f>IF(AND(A124&gt;Параметры!$C$11,A124&lt;=Параметры!$C$11+3),Параметры!$C$28,0)</f>
        <v>0</v>
      </c>
      <c r="H124" s="13">
        <f t="shared" si="27"/>
        <v>949926.99880002625</v>
      </c>
      <c r="I124" s="13">
        <f>E124*Параметры!$C$16</f>
        <v>712445.24910001992</v>
      </c>
      <c r="J124" s="13">
        <f>Параметры!$C$27</f>
        <v>260416.66666666666</v>
      </c>
      <c r="K124" s="13">
        <f>MAX(0,Параметры!$C$20-Параметры!$C$27*MAX(0,A124-Параметры!$C$11-1))*Параметры!$C$15/12</f>
        <v>175694.44444444447</v>
      </c>
      <c r="L124" s="13">
        <f t="shared" si="28"/>
        <v>3601078.633789002</v>
      </c>
      <c r="M124" s="13">
        <f>T123*Параметры!$C$10/12</f>
        <v>770849.8845019727</v>
      </c>
      <c r="N124" s="13">
        <f t="shared" si="29"/>
        <v>2830228.7492870293</v>
      </c>
      <c r="O124" s="13">
        <f>MAX(0,N124*Параметры!$C$14)</f>
        <v>566045.7498574059</v>
      </c>
      <c r="P124" s="13">
        <f t="shared" si="30"/>
        <v>2264182.9994296236</v>
      </c>
      <c r="Q124" s="13">
        <v>0</v>
      </c>
      <c r="R124" s="13">
        <v>0</v>
      </c>
      <c r="S124" s="13">
        <f>MAX(0,MIN(Параметры!$C$26-M124,T123))</f>
        <v>471412.06928448193</v>
      </c>
      <c r="T124" s="13">
        <f t="shared" si="31"/>
        <v>61196578.690873332</v>
      </c>
      <c r="U124" s="13">
        <f t="shared" si="32"/>
        <v>1103260.5980117819</v>
      </c>
      <c r="V124" s="13">
        <f t="shared" si="25"/>
        <v>10637873.113933448</v>
      </c>
    </row>
    <row r="125" spans="1:22" x14ac:dyDescent="0.25">
      <c r="A125" s="14">
        <v>124</v>
      </c>
      <c r="B125" s="14" t="s">
        <v>186</v>
      </c>
      <c r="C125" s="15" t="s">
        <v>73</v>
      </c>
      <c r="D125" s="9">
        <f>Параметры!$C$4*Параметры!$C$7*(1+Параметры!$C$8)^INT((A125-Параметры!$C$11-1)/12)</f>
        <v>5699561.9928001594</v>
      </c>
      <c r="E125" s="9">
        <f>D125/(1+Параметры!$C$13)</f>
        <v>4749634.9940001331</v>
      </c>
      <c r="F125" s="9">
        <f t="shared" si="26"/>
        <v>949926.99880002625</v>
      </c>
      <c r="G125" s="9">
        <f>IF(AND(A125&gt;Параметры!$C$11,A125&lt;=Параметры!$C$11+3),Параметры!$C$28,0)</f>
        <v>0</v>
      </c>
      <c r="H125" s="9">
        <f t="shared" si="27"/>
        <v>949926.99880002625</v>
      </c>
      <c r="I125" s="9">
        <f>E125*Параметры!$C$16</f>
        <v>712445.24910001992</v>
      </c>
      <c r="J125" s="9">
        <f>Параметры!$C$27</f>
        <v>260416.66666666666</v>
      </c>
      <c r="K125" s="9">
        <f>MAX(0,Параметры!$C$20-Параметры!$C$27*MAX(0,A125-Параметры!$C$11-1))*Параметры!$C$15/12</f>
        <v>175217.01388888888</v>
      </c>
      <c r="L125" s="9">
        <f t="shared" si="28"/>
        <v>3601556.0643445575</v>
      </c>
      <c r="M125" s="9">
        <f>T124*Параметры!$C$10/12</f>
        <v>764957.23363591672</v>
      </c>
      <c r="N125" s="9">
        <f t="shared" si="29"/>
        <v>2836598.8307086406</v>
      </c>
      <c r="O125" s="9">
        <f>MAX(0,N125*Параметры!$C$14)</f>
        <v>567319.76614172815</v>
      </c>
      <c r="P125" s="9">
        <f t="shared" si="30"/>
        <v>2269279.0645669126</v>
      </c>
      <c r="Q125" s="9">
        <v>0</v>
      </c>
      <c r="R125" s="9">
        <v>0</v>
      </c>
      <c r="S125" s="9">
        <f>MAX(0,MIN(Параметры!$C$26-M125,T124))</f>
        <v>477304.72015053791</v>
      </c>
      <c r="T125" s="9">
        <f t="shared" si="31"/>
        <v>60719273.970722795</v>
      </c>
      <c r="U125" s="9">
        <f t="shared" si="32"/>
        <v>1102464.0122830151</v>
      </c>
      <c r="V125" s="9">
        <f t="shared" si="25"/>
        <v>11740337.126216464</v>
      </c>
    </row>
    <row r="126" spans="1:22" x14ac:dyDescent="0.25">
      <c r="A126" s="11">
        <v>125</v>
      </c>
      <c r="B126" s="11" t="s">
        <v>187</v>
      </c>
      <c r="C126" s="12" t="s">
        <v>73</v>
      </c>
      <c r="D126" s="13">
        <f>Параметры!$C$4*Параметры!$C$7*(1+Параметры!$C$8)^INT((A126-Параметры!$C$11-1)/12)</f>
        <v>5699561.9928001594</v>
      </c>
      <c r="E126" s="13">
        <f>D126/(1+Параметры!$C$13)</f>
        <v>4749634.9940001331</v>
      </c>
      <c r="F126" s="13">
        <f t="shared" si="26"/>
        <v>949926.99880002625</v>
      </c>
      <c r="G126" s="13">
        <f>IF(AND(A126&gt;Параметры!$C$11,A126&lt;=Параметры!$C$11+3),Параметры!$C$28,0)</f>
        <v>0</v>
      </c>
      <c r="H126" s="13">
        <f t="shared" si="27"/>
        <v>949926.99880002625</v>
      </c>
      <c r="I126" s="13">
        <f>E126*Параметры!$C$16</f>
        <v>712445.24910001992</v>
      </c>
      <c r="J126" s="13">
        <f>Параметры!$C$27</f>
        <v>260416.66666666666</v>
      </c>
      <c r="K126" s="13">
        <f>MAX(0,Параметры!$C$20-Параметры!$C$27*MAX(0,A126-Параметры!$C$11-1))*Параметры!$C$15/12</f>
        <v>174739.58333333331</v>
      </c>
      <c r="L126" s="13">
        <f t="shared" si="28"/>
        <v>3602033.494900113</v>
      </c>
      <c r="M126" s="13">
        <f>T125*Параметры!$C$10/12</f>
        <v>758990.92463403486</v>
      </c>
      <c r="N126" s="13">
        <f t="shared" si="29"/>
        <v>2843042.5702660782</v>
      </c>
      <c r="O126" s="13">
        <f>MAX(0,N126*Параметры!$C$14)</f>
        <v>568608.51405321562</v>
      </c>
      <c r="P126" s="13">
        <f t="shared" si="30"/>
        <v>2274434.0562128625</v>
      </c>
      <c r="Q126" s="13">
        <v>0</v>
      </c>
      <c r="R126" s="13">
        <v>0</v>
      </c>
      <c r="S126" s="13">
        <f>MAX(0,MIN(Параметры!$C$26-M126,T125))</f>
        <v>483271.02915241977</v>
      </c>
      <c r="T126" s="13">
        <f t="shared" si="31"/>
        <v>60236002.941570371</v>
      </c>
      <c r="U126" s="13">
        <f t="shared" si="32"/>
        <v>1101652.6949270829</v>
      </c>
      <c r="V126" s="13">
        <f t="shared" si="25"/>
        <v>12841989.821143547</v>
      </c>
    </row>
    <row r="127" spans="1:22" x14ac:dyDescent="0.25">
      <c r="A127" s="14">
        <v>126</v>
      </c>
      <c r="B127" s="14" t="s">
        <v>188</v>
      </c>
      <c r="C127" s="15" t="s">
        <v>73</v>
      </c>
      <c r="D127" s="9">
        <f>Параметры!$C$4*Параметры!$C$7*(1+Параметры!$C$8)^INT((A127-Параметры!$C$11-1)/12)</f>
        <v>5699561.9928001594</v>
      </c>
      <c r="E127" s="9">
        <f>D127/(1+Параметры!$C$13)</f>
        <v>4749634.9940001331</v>
      </c>
      <c r="F127" s="9">
        <f t="shared" si="26"/>
        <v>949926.99880002625</v>
      </c>
      <c r="G127" s="9">
        <f>IF(AND(A127&gt;Параметры!$C$11,A127&lt;=Параметры!$C$11+3),Параметры!$C$28,0)</f>
        <v>0</v>
      </c>
      <c r="H127" s="9">
        <f t="shared" si="27"/>
        <v>949926.99880002625</v>
      </c>
      <c r="I127" s="9">
        <f>E127*Параметры!$C$16</f>
        <v>712445.24910001992</v>
      </c>
      <c r="J127" s="9">
        <f>Параметры!$C$27</f>
        <v>260416.66666666666</v>
      </c>
      <c r="K127" s="9">
        <f>MAX(0,Параметры!$C$20-Параметры!$C$27*MAX(0,A127-Параметры!$C$11-1))*Параметры!$C$15/12</f>
        <v>174262.15277777778</v>
      </c>
      <c r="L127" s="9">
        <f t="shared" si="28"/>
        <v>3602510.9254556685</v>
      </c>
      <c r="M127" s="9">
        <f>T126*Параметры!$C$10/12</f>
        <v>752950.03676962957</v>
      </c>
      <c r="N127" s="9">
        <f t="shared" si="29"/>
        <v>2849560.888686039</v>
      </c>
      <c r="O127" s="9">
        <f>MAX(0,N127*Параметры!$C$14)</f>
        <v>569912.17773720785</v>
      </c>
      <c r="P127" s="9">
        <f t="shared" si="30"/>
        <v>2279648.7109488314</v>
      </c>
      <c r="Q127" s="9">
        <v>0</v>
      </c>
      <c r="R127" s="9">
        <v>0</v>
      </c>
      <c r="S127" s="9">
        <f>MAX(0,MIN(Параметры!$C$26-M127,T126))</f>
        <v>489311.91701682506</v>
      </c>
      <c r="T127" s="9">
        <f t="shared" si="31"/>
        <v>59746691.024553545</v>
      </c>
      <c r="U127" s="9">
        <f t="shared" si="32"/>
        <v>1100826.4617986465</v>
      </c>
      <c r="V127" s="9">
        <f t="shared" si="25"/>
        <v>13942816.282942194</v>
      </c>
    </row>
    <row r="128" spans="1:22" x14ac:dyDescent="0.25">
      <c r="A128" s="11">
        <v>127</v>
      </c>
      <c r="B128" s="11" t="s">
        <v>189</v>
      </c>
      <c r="C128" s="12" t="s">
        <v>73</v>
      </c>
      <c r="D128" s="13">
        <f>Параметры!$C$4*Параметры!$C$7*(1+Параметры!$C$8)^INT((A128-Параметры!$C$11-1)/12)</f>
        <v>5699561.9928001594</v>
      </c>
      <c r="E128" s="13">
        <f>D128/(1+Параметры!$C$13)</f>
        <v>4749634.9940001331</v>
      </c>
      <c r="F128" s="13">
        <f t="shared" si="26"/>
        <v>949926.99880002625</v>
      </c>
      <c r="G128" s="13">
        <f>IF(AND(A128&gt;Параметры!$C$11,A128&lt;=Параметры!$C$11+3),Параметры!$C$28,0)</f>
        <v>0</v>
      </c>
      <c r="H128" s="13">
        <f t="shared" si="27"/>
        <v>949926.99880002625</v>
      </c>
      <c r="I128" s="13">
        <f>E128*Параметры!$C$16</f>
        <v>712445.24910001992</v>
      </c>
      <c r="J128" s="13">
        <f>Параметры!$C$27</f>
        <v>260416.66666666666</v>
      </c>
      <c r="K128" s="13">
        <f>MAX(0,Параметры!$C$20-Параметры!$C$27*MAX(0,A128-Параметры!$C$11-1))*Параметры!$C$15/12</f>
        <v>173784.72222222222</v>
      </c>
      <c r="L128" s="13">
        <f t="shared" si="28"/>
        <v>3602988.3560112244</v>
      </c>
      <c r="M128" s="13">
        <f>T127*Параметры!$C$10/12</f>
        <v>746833.63780691929</v>
      </c>
      <c r="N128" s="13">
        <f t="shared" si="29"/>
        <v>2856154.718204305</v>
      </c>
      <c r="O128" s="13">
        <f>MAX(0,N128*Параметры!$C$14)</f>
        <v>571230.94364086108</v>
      </c>
      <c r="P128" s="13">
        <f t="shared" si="30"/>
        <v>2284923.7745634438</v>
      </c>
      <c r="Q128" s="13">
        <v>0</v>
      </c>
      <c r="R128" s="13">
        <v>0</v>
      </c>
      <c r="S128" s="13">
        <f>MAX(0,MIN(Параметры!$C$26-M128,T127))</f>
        <v>495428.31597953534</v>
      </c>
      <c r="T128" s="13">
        <f t="shared" si="31"/>
        <v>59251262.708574012</v>
      </c>
      <c r="U128" s="13">
        <f t="shared" si="32"/>
        <v>1099985.1264505489</v>
      </c>
      <c r="V128" s="13">
        <f t="shared" si="25"/>
        <v>15042801.409392744</v>
      </c>
    </row>
    <row r="129" spans="1:22" x14ac:dyDescent="0.25">
      <c r="A129" s="14">
        <v>128</v>
      </c>
      <c r="B129" s="14" t="s">
        <v>190</v>
      </c>
      <c r="C129" s="15" t="s">
        <v>73</v>
      </c>
      <c r="D129" s="9">
        <f>Параметры!$C$4*Параметры!$C$7*(1+Параметры!$C$8)^INT((A129-Параметры!$C$11-1)/12)</f>
        <v>5699561.9928001594</v>
      </c>
      <c r="E129" s="9">
        <f>D129/(1+Параметры!$C$13)</f>
        <v>4749634.9940001331</v>
      </c>
      <c r="F129" s="9">
        <f t="shared" si="26"/>
        <v>949926.99880002625</v>
      </c>
      <c r="G129" s="9">
        <f>IF(AND(A129&gt;Параметры!$C$11,A129&lt;=Параметры!$C$11+3),Параметры!$C$28,0)</f>
        <v>0</v>
      </c>
      <c r="H129" s="9">
        <f t="shared" si="27"/>
        <v>949926.99880002625</v>
      </c>
      <c r="I129" s="9">
        <f>E129*Параметры!$C$16</f>
        <v>712445.24910001992</v>
      </c>
      <c r="J129" s="9">
        <f>Параметры!$C$27</f>
        <v>260416.66666666666</v>
      </c>
      <c r="K129" s="9">
        <f>MAX(0,Параметры!$C$20-Параметры!$C$27*MAX(0,A129-Параметры!$C$11-1))*Параметры!$C$15/12</f>
        <v>173307.29166666666</v>
      </c>
      <c r="L129" s="9">
        <f t="shared" si="28"/>
        <v>3603465.7865667799</v>
      </c>
      <c r="M129" s="9">
        <f>T128*Параметры!$C$10/12</f>
        <v>740640.78385717515</v>
      </c>
      <c r="N129" s="9">
        <f t="shared" si="29"/>
        <v>2862825.0027096048</v>
      </c>
      <c r="O129" s="9">
        <f>MAX(0,N129*Параметры!$C$14)</f>
        <v>572565.00054192101</v>
      </c>
      <c r="P129" s="9">
        <f t="shared" si="30"/>
        <v>2290260.002167684</v>
      </c>
      <c r="Q129" s="9">
        <v>0</v>
      </c>
      <c r="R129" s="9">
        <v>0</v>
      </c>
      <c r="S129" s="9">
        <f>MAX(0,MIN(Параметры!$C$26-M129,T128))</f>
        <v>501621.16992927948</v>
      </c>
      <c r="T129" s="9">
        <f t="shared" si="31"/>
        <v>58749641.538644731</v>
      </c>
      <c r="U129" s="9">
        <f t="shared" si="32"/>
        <v>1099128.5001050448</v>
      </c>
      <c r="V129" s="9">
        <f t="shared" si="25"/>
        <v>16141929.90949779</v>
      </c>
    </row>
    <row r="130" spans="1:22" x14ac:dyDescent="0.25">
      <c r="A130" s="11">
        <v>129</v>
      </c>
      <c r="B130" s="11" t="s">
        <v>191</v>
      </c>
      <c r="C130" s="12" t="s">
        <v>73</v>
      </c>
      <c r="D130" s="13">
        <f>Параметры!$C$4*Параметры!$C$7*(1+Параметры!$C$8)^INT((A130-Параметры!$C$11-1)/12)</f>
        <v>5699561.9928001594</v>
      </c>
      <c r="E130" s="13">
        <f>D130/(1+Параметры!$C$13)</f>
        <v>4749634.9940001331</v>
      </c>
      <c r="F130" s="13">
        <f t="shared" si="26"/>
        <v>949926.99880002625</v>
      </c>
      <c r="G130" s="13">
        <f>IF(AND(A130&gt;Параметры!$C$11,A130&lt;=Параметры!$C$11+3),Параметры!$C$28,0)</f>
        <v>0</v>
      </c>
      <c r="H130" s="13">
        <f t="shared" si="27"/>
        <v>949926.99880002625</v>
      </c>
      <c r="I130" s="13">
        <f>E130*Параметры!$C$16</f>
        <v>712445.24910001992</v>
      </c>
      <c r="J130" s="13">
        <f>Параметры!$C$27</f>
        <v>260416.66666666666</v>
      </c>
      <c r="K130" s="13">
        <f>MAX(0,Параметры!$C$20-Параметры!$C$27*MAX(0,A130-Параметры!$C$11-1))*Параметры!$C$15/12</f>
        <v>172829.86111111112</v>
      </c>
      <c r="L130" s="13">
        <f t="shared" si="28"/>
        <v>3603943.2171223355</v>
      </c>
      <c r="M130" s="13">
        <f>T129*Параметры!$C$10/12</f>
        <v>734370.51923305914</v>
      </c>
      <c r="N130" s="13">
        <f t="shared" si="29"/>
        <v>2869572.6978892763</v>
      </c>
      <c r="O130" s="13">
        <f>MAX(0,N130*Параметры!$C$14)</f>
        <v>573914.53957785526</v>
      </c>
      <c r="P130" s="13">
        <f t="shared" si="30"/>
        <v>2295658.1583114211</v>
      </c>
      <c r="Q130" s="13">
        <v>0</v>
      </c>
      <c r="R130" s="13">
        <v>0</v>
      </c>
      <c r="S130" s="13">
        <f>MAX(0,MIN(Параметры!$C$26-M130,T129))</f>
        <v>507891.43455339549</v>
      </c>
      <c r="T130" s="13">
        <f t="shared" si="31"/>
        <v>58241750.104091339</v>
      </c>
      <c r="U130" s="13">
        <f t="shared" si="32"/>
        <v>1098256.3916246658</v>
      </c>
      <c r="V130" s="13">
        <f t="shared" si="25"/>
        <v>17240186.301122457</v>
      </c>
    </row>
    <row r="131" spans="1:22" x14ac:dyDescent="0.25">
      <c r="A131" s="14">
        <v>130</v>
      </c>
      <c r="B131" s="14" t="s">
        <v>192</v>
      </c>
      <c r="C131" s="15" t="s">
        <v>73</v>
      </c>
      <c r="D131" s="9">
        <f>Параметры!$C$4*Параметры!$C$7*(1+Параметры!$C$8)^INT((A131-Параметры!$C$11-1)/12)</f>
        <v>5699561.9928001594</v>
      </c>
      <c r="E131" s="9">
        <f>D131/(1+Параметры!$C$13)</f>
        <v>4749634.9940001331</v>
      </c>
      <c r="F131" s="9">
        <f t="shared" si="26"/>
        <v>949926.99880002625</v>
      </c>
      <c r="G131" s="9">
        <f>IF(AND(A131&gt;Параметры!$C$11,A131&lt;=Параметры!$C$11+3),Параметры!$C$28,0)</f>
        <v>0</v>
      </c>
      <c r="H131" s="9">
        <f t="shared" si="27"/>
        <v>949926.99880002625</v>
      </c>
      <c r="I131" s="9">
        <f>E131*Параметры!$C$16</f>
        <v>712445.24910001992</v>
      </c>
      <c r="J131" s="9">
        <f>Параметры!$C$27</f>
        <v>260416.66666666666</v>
      </c>
      <c r="K131" s="9">
        <f>MAX(0,Параметры!$C$20-Параметры!$C$27*MAX(0,A131-Параметры!$C$11-1))*Параметры!$C$15/12</f>
        <v>172352.43055555556</v>
      </c>
      <c r="L131" s="9">
        <f t="shared" si="28"/>
        <v>3604420.647677891</v>
      </c>
      <c r="M131" s="9">
        <f>T130*Параметры!$C$10/12</f>
        <v>728021.87630114181</v>
      </c>
      <c r="N131" s="9">
        <f t="shared" si="29"/>
        <v>2876398.771376749</v>
      </c>
      <c r="O131" s="9">
        <f>MAX(0,N131*Параметры!$C$14)</f>
        <v>575279.75427534978</v>
      </c>
      <c r="P131" s="9">
        <f t="shared" si="30"/>
        <v>2301119.0171013991</v>
      </c>
      <c r="Q131" s="9">
        <v>0</v>
      </c>
      <c r="R131" s="9">
        <v>0</v>
      </c>
      <c r="S131" s="9">
        <f>MAX(0,MIN(Параметры!$C$26-M131,T130))</f>
        <v>514240.07748531282</v>
      </c>
      <c r="T131" s="9">
        <f t="shared" si="31"/>
        <v>57727510.026606023</v>
      </c>
      <c r="U131" s="9">
        <f t="shared" si="32"/>
        <v>1097368.6074827267</v>
      </c>
      <c r="V131" s="9">
        <f t="shared" ref="V131:V162" si="33">V130+U131</f>
        <v>18337554.908605184</v>
      </c>
    </row>
    <row r="132" spans="1:22" x14ac:dyDescent="0.25">
      <c r="A132" s="11">
        <v>131</v>
      </c>
      <c r="B132" s="11" t="s">
        <v>193</v>
      </c>
      <c r="C132" s="12" t="s">
        <v>73</v>
      </c>
      <c r="D132" s="13">
        <f>Параметры!$C$4*Параметры!$C$7*(1+Параметры!$C$8)^INT((A132-Параметры!$C$11-1)/12)</f>
        <v>6155526.9522241727</v>
      </c>
      <c r="E132" s="13">
        <f>D132/(1+Параметры!$C$13)</f>
        <v>5129605.7935201442</v>
      </c>
      <c r="F132" s="13">
        <f t="shared" si="26"/>
        <v>1025921.1587040285</v>
      </c>
      <c r="G132" s="13">
        <f>IF(AND(A132&gt;Параметры!$C$11,A132&lt;=Параметры!$C$11+3),Параметры!$C$28,0)</f>
        <v>0</v>
      </c>
      <c r="H132" s="13">
        <f t="shared" si="27"/>
        <v>1025921.1587040285</v>
      </c>
      <c r="I132" s="13">
        <f>E132*Параметры!$C$16</f>
        <v>769440.86902802158</v>
      </c>
      <c r="J132" s="13">
        <f>Параметры!$C$27</f>
        <v>260416.66666666666</v>
      </c>
      <c r="K132" s="13">
        <f>MAX(0,Параметры!$C$20-Параметры!$C$27*MAX(0,A132-Параметры!$C$11-1))*Параметры!$C$15/12</f>
        <v>171874.99999999997</v>
      </c>
      <c r="L132" s="13">
        <f t="shared" si="28"/>
        <v>3927873.2578254561</v>
      </c>
      <c r="M132" s="13">
        <f>T131*Параметры!$C$10/12</f>
        <v>721593.87533257529</v>
      </c>
      <c r="N132" s="13">
        <f t="shared" si="29"/>
        <v>3206279.3824928808</v>
      </c>
      <c r="O132" s="13">
        <f>MAX(0,N132*Параметры!$C$14)</f>
        <v>641255.87649857625</v>
      </c>
      <c r="P132" s="13">
        <f t="shared" si="30"/>
        <v>2565023.5059943045</v>
      </c>
      <c r="Q132" s="13">
        <v>0</v>
      </c>
      <c r="R132" s="13">
        <v>0</v>
      </c>
      <c r="S132" s="13">
        <f>MAX(0,MIN(Параметры!$C$26-M132,T131))</f>
        <v>520668.07845387934</v>
      </c>
      <c r="T132" s="13">
        <f t="shared" si="31"/>
        <v>57206841.948152147</v>
      </c>
      <c r="U132" s="13">
        <f t="shared" si="32"/>
        <v>1278850.9355030633</v>
      </c>
      <c r="V132" s="13">
        <f t="shared" si="33"/>
        <v>19616405.844108246</v>
      </c>
    </row>
    <row r="133" spans="1:22" x14ac:dyDescent="0.25">
      <c r="A133" s="14">
        <v>132</v>
      </c>
      <c r="B133" s="14" t="s">
        <v>194</v>
      </c>
      <c r="C133" s="15" t="s">
        <v>73</v>
      </c>
      <c r="D133" s="9">
        <f>Параметры!$C$4*Параметры!$C$7*(1+Параметры!$C$8)^INT((A133-Параметры!$C$11-1)/12)</f>
        <v>6155526.9522241727</v>
      </c>
      <c r="E133" s="9">
        <f>D133/(1+Параметры!$C$13)</f>
        <v>5129605.7935201442</v>
      </c>
      <c r="F133" s="9">
        <f t="shared" si="26"/>
        <v>1025921.1587040285</v>
      </c>
      <c r="G133" s="9">
        <f>IF(AND(A133&gt;Параметры!$C$11,A133&lt;=Параметры!$C$11+3),Параметры!$C$28,0)</f>
        <v>0</v>
      </c>
      <c r="H133" s="9">
        <f t="shared" si="27"/>
        <v>1025921.1587040285</v>
      </c>
      <c r="I133" s="9">
        <f>E133*Параметры!$C$16</f>
        <v>769440.86902802158</v>
      </c>
      <c r="J133" s="9">
        <f>Параметры!$C$27</f>
        <v>260416.66666666666</v>
      </c>
      <c r="K133" s="9">
        <f>MAX(0,Параметры!$C$20-Параметры!$C$27*MAX(0,A133-Параметры!$C$11-1))*Параметры!$C$15/12</f>
        <v>171397.56944444447</v>
      </c>
      <c r="L133" s="9">
        <f t="shared" si="28"/>
        <v>3928350.6883810116</v>
      </c>
      <c r="M133" s="9">
        <f>T132*Параметры!$C$10/12</f>
        <v>715085.52435190184</v>
      </c>
      <c r="N133" s="9">
        <f t="shared" si="29"/>
        <v>3213265.1640291098</v>
      </c>
      <c r="O133" s="9">
        <f>MAX(0,N133*Параметры!$C$14)</f>
        <v>642653.03280582197</v>
      </c>
      <c r="P133" s="9">
        <f t="shared" si="30"/>
        <v>2570612.1312232879</v>
      </c>
      <c r="Q133" s="9">
        <v>0</v>
      </c>
      <c r="R133" s="9">
        <v>0</v>
      </c>
      <c r="S133" s="9">
        <f>MAX(0,MIN(Параметры!$C$26-M133,T132))</f>
        <v>527176.42943455279</v>
      </c>
      <c r="T133" s="9">
        <f t="shared" si="31"/>
        <v>56679665.518717594</v>
      </c>
      <c r="U133" s="9">
        <f t="shared" si="32"/>
        <v>1277931.2097513732</v>
      </c>
      <c r="V133" s="9">
        <f t="shared" si="33"/>
        <v>20894337.053859621</v>
      </c>
    </row>
    <row r="134" spans="1:22" x14ac:dyDescent="0.25">
      <c r="A134" s="11">
        <v>133</v>
      </c>
      <c r="B134" s="11" t="s">
        <v>195</v>
      </c>
      <c r="C134" s="12" t="s">
        <v>73</v>
      </c>
      <c r="D134" s="13">
        <f>Параметры!$C$4*Параметры!$C$7*(1+Параметры!$C$8)^INT((A134-Параметры!$C$11-1)/12)</f>
        <v>6155526.9522241727</v>
      </c>
      <c r="E134" s="13">
        <f>D134/(1+Параметры!$C$13)</f>
        <v>5129605.7935201442</v>
      </c>
      <c r="F134" s="13">
        <f t="shared" si="26"/>
        <v>1025921.1587040285</v>
      </c>
      <c r="G134" s="13">
        <f>IF(AND(A134&gt;Параметры!$C$11,A134&lt;=Параметры!$C$11+3),Параметры!$C$28,0)</f>
        <v>0</v>
      </c>
      <c r="H134" s="13">
        <f t="shared" si="27"/>
        <v>1025921.1587040285</v>
      </c>
      <c r="I134" s="13">
        <f>E134*Параметры!$C$16</f>
        <v>769440.86902802158</v>
      </c>
      <c r="J134" s="13">
        <f>Параметры!$C$27</f>
        <v>260416.66666666666</v>
      </c>
      <c r="K134" s="13">
        <f>MAX(0,Параметры!$C$20-Параметры!$C$27*MAX(0,A134-Параметры!$C$11-1))*Параметры!$C$15/12</f>
        <v>170920.13888888891</v>
      </c>
      <c r="L134" s="13">
        <f t="shared" si="28"/>
        <v>3928828.1189365671</v>
      </c>
      <c r="M134" s="13">
        <f>T133*Параметры!$C$10/12</f>
        <v>708495.81898396986</v>
      </c>
      <c r="N134" s="13">
        <f t="shared" si="29"/>
        <v>3220332.2999525974</v>
      </c>
      <c r="O134" s="13">
        <f>MAX(0,N134*Параметры!$C$14)</f>
        <v>644066.45999051956</v>
      </c>
      <c r="P134" s="13">
        <f t="shared" si="30"/>
        <v>2576265.8399620778</v>
      </c>
      <c r="Q134" s="13">
        <v>0</v>
      </c>
      <c r="R134" s="13">
        <v>0</v>
      </c>
      <c r="S134" s="13">
        <f>MAX(0,MIN(Параметры!$C$26-M134,T133))</f>
        <v>533766.13480248477</v>
      </c>
      <c r="T134" s="13">
        <f t="shared" si="31"/>
        <v>56145899.383915111</v>
      </c>
      <c r="U134" s="13">
        <f t="shared" si="32"/>
        <v>1276995.213122231</v>
      </c>
      <c r="V134" s="13">
        <f t="shared" si="33"/>
        <v>22171332.266981851</v>
      </c>
    </row>
    <row r="135" spans="1:22" x14ac:dyDescent="0.25">
      <c r="A135" s="14">
        <v>134</v>
      </c>
      <c r="B135" s="14" t="s">
        <v>196</v>
      </c>
      <c r="C135" s="15" t="s">
        <v>73</v>
      </c>
      <c r="D135" s="9">
        <f>Параметры!$C$4*Параметры!$C$7*(1+Параметры!$C$8)^INT((A135-Параметры!$C$11-1)/12)</f>
        <v>6155526.9522241727</v>
      </c>
      <c r="E135" s="9">
        <f>D135/(1+Параметры!$C$13)</f>
        <v>5129605.7935201442</v>
      </c>
      <c r="F135" s="9">
        <f t="shared" si="26"/>
        <v>1025921.1587040285</v>
      </c>
      <c r="G135" s="9">
        <f>IF(AND(A135&gt;Параметры!$C$11,A135&lt;=Параметры!$C$11+3),Параметры!$C$28,0)</f>
        <v>0</v>
      </c>
      <c r="H135" s="9">
        <f t="shared" si="27"/>
        <v>1025921.1587040285</v>
      </c>
      <c r="I135" s="9">
        <f>E135*Параметры!$C$16</f>
        <v>769440.86902802158</v>
      </c>
      <c r="J135" s="9">
        <f>Параметры!$C$27</f>
        <v>260416.66666666666</v>
      </c>
      <c r="K135" s="9">
        <f>MAX(0,Параметры!$C$20-Параметры!$C$27*MAX(0,A135-Параметры!$C$11-1))*Параметры!$C$15/12</f>
        <v>170442.70833333331</v>
      </c>
      <c r="L135" s="9">
        <f t="shared" si="28"/>
        <v>3929305.5494921226</v>
      </c>
      <c r="M135" s="9">
        <f>T134*Параметры!$C$10/12</f>
        <v>701823.7422989388</v>
      </c>
      <c r="N135" s="9">
        <f t="shared" si="29"/>
        <v>3227481.8071931838</v>
      </c>
      <c r="O135" s="9">
        <f>MAX(0,N135*Параметры!$C$14)</f>
        <v>645496.36143863678</v>
      </c>
      <c r="P135" s="9">
        <f t="shared" si="30"/>
        <v>2581985.4457545471</v>
      </c>
      <c r="Q135" s="9">
        <v>0</v>
      </c>
      <c r="R135" s="9">
        <v>0</v>
      </c>
      <c r="S135" s="9">
        <f>MAX(0,MIN(Параметры!$C$26-M135,T134))</f>
        <v>540438.21148751583</v>
      </c>
      <c r="T135" s="9">
        <f t="shared" si="31"/>
        <v>55605461.172427595</v>
      </c>
      <c r="U135" s="9">
        <f t="shared" si="32"/>
        <v>1276042.7422296694</v>
      </c>
      <c r="V135" s="9">
        <f t="shared" si="33"/>
        <v>23447375.009211522</v>
      </c>
    </row>
    <row r="136" spans="1:22" x14ac:dyDescent="0.25">
      <c r="A136" s="11">
        <v>135</v>
      </c>
      <c r="B136" s="11" t="s">
        <v>197</v>
      </c>
      <c r="C136" s="12" t="s">
        <v>73</v>
      </c>
      <c r="D136" s="13">
        <f>Параметры!$C$4*Параметры!$C$7*(1+Параметры!$C$8)^INT((A136-Параметры!$C$11-1)/12)</f>
        <v>6155526.9522241727</v>
      </c>
      <c r="E136" s="13">
        <f>D136/(1+Параметры!$C$13)</f>
        <v>5129605.7935201442</v>
      </c>
      <c r="F136" s="13">
        <f t="shared" si="26"/>
        <v>1025921.1587040285</v>
      </c>
      <c r="G136" s="13">
        <f>IF(AND(A136&gt;Параметры!$C$11,A136&lt;=Параметры!$C$11+3),Параметры!$C$28,0)</f>
        <v>0</v>
      </c>
      <c r="H136" s="13">
        <f t="shared" si="27"/>
        <v>1025921.1587040285</v>
      </c>
      <c r="I136" s="13">
        <f>E136*Параметры!$C$16</f>
        <v>769440.86902802158</v>
      </c>
      <c r="J136" s="13">
        <f>Параметры!$C$27</f>
        <v>260416.66666666666</v>
      </c>
      <c r="K136" s="13">
        <f>MAX(0,Параметры!$C$20-Параметры!$C$27*MAX(0,A136-Параметры!$C$11-1))*Параметры!$C$15/12</f>
        <v>169965.27777777778</v>
      </c>
      <c r="L136" s="13">
        <f t="shared" si="28"/>
        <v>3929782.9800476781</v>
      </c>
      <c r="M136" s="13">
        <f>T135*Параметры!$C$10/12</f>
        <v>695068.26465534489</v>
      </c>
      <c r="N136" s="13">
        <f t="shared" si="29"/>
        <v>3234714.7153923335</v>
      </c>
      <c r="O136" s="13">
        <f>MAX(0,N136*Параметры!$C$14)</f>
        <v>646942.94307846669</v>
      </c>
      <c r="P136" s="13">
        <f t="shared" si="30"/>
        <v>2587771.7723138668</v>
      </c>
      <c r="Q136" s="13">
        <v>0</v>
      </c>
      <c r="R136" s="13">
        <v>0</v>
      </c>
      <c r="S136" s="13">
        <f>MAX(0,MIN(Параметры!$C$26-M136,T135))</f>
        <v>547193.68913110974</v>
      </c>
      <c r="T136" s="13">
        <f t="shared" si="31"/>
        <v>55058267.483296484</v>
      </c>
      <c r="U136" s="13">
        <f t="shared" si="32"/>
        <v>1275073.5911453953</v>
      </c>
      <c r="V136" s="13">
        <f t="shared" si="33"/>
        <v>24722448.600356918</v>
      </c>
    </row>
    <row r="137" spans="1:22" x14ac:dyDescent="0.25">
      <c r="A137" s="14">
        <v>136</v>
      </c>
      <c r="B137" s="14" t="s">
        <v>198</v>
      </c>
      <c r="C137" s="15" t="s">
        <v>73</v>
      </c>
      <c r="D137" s="9">
        <f>Параметры!$C$4*Параметры!$C$7*(1+Параметры!$C$8)^INT((A137-Параметры!$C$11-1)/12)</f>
        <v>6155526.9522241727</v>
      </c>
      <c r="E137" s="9">
        <f>D137/(1+Параметры!$C$13)</f>
        <v>5129605.7935201442</v>
      </c>
      <c r="F137" s="9">
        <f t="shared" si="26"/>
        <v>1025921.1587040285</v>
      </c>
      <c r="G137" s="9">
        <f>IF(AND(A137&gt;Параметры!$C$11,A137&lt;=Параметры!$C$11+3),Параметры!$C$28,0)</f>
        <v>0</v>
      </c>
      <c r="H137" s="9">
        <f t="shared" si="27"/>
        <v>1025921.1587040285</v>
      </c>
      <c r="I137" s="9">
        <f>E137*Параметры!$C$16</f>
        <v>769440.86902802158</v>
      </c>
      <c r="J137" s="9">
        <f>Параметры!$C$27</f>
        <v>260416.66666666666</v>
      </c>
      <c r="K137" s="9">
        <f>MAX(0,Параметры!$C$20-Параметры!$C$27*MAX(0,A137-Параметры!$C$11-1))*Параметры!$C$15/12</f>
        <v>169487.84722222222</v>
      </c>
      <c r="L137" s="9">
        <f t="shared" si="28"/>
        <v>3930260.4106032341</v>
      </c>
      <c r="M137" s="9">
        <f>T136*Параметры!$C$10/12</f>
        <v>688228.34354120598</v>
      </c>
      <c r="N137" s="9">
        <f t="shared" si="29"/>
        <v>3242032.0670620282</v>
      </c>
      <c r="O137" s="9">
        <f>MAX(0,N137*Параметры!$C$14)</f>
        <v>648406.41341240564</v>
      </c>
      <c r="P137" s="9">
        <f t="shared" si="30"/>
        <v>2593625.6536496226</v>
      </c>
      <c r="Q137" s="9">
        <v>0</v>
      </c>
      <c r="R137" s="9">
        <v>0</v>
      </c>
      <c r="S137" s="9">
        <f>MAX(0,MIN(Параметры!$C$26-M137,T136))</f>
        <v>554033.61024524865</v>
      </c>
      <c r="T137" s="9">
        <f t="shared" si="31"/>
        <v>54504233.873051234</v>
      </c>
      <c r="U137" s="9">
        <f t="shared" si="32"/>
        <v>1274087.5513670119</v>
      </c>
      <c r="V137" s="9">
        <f t="shared" si="33"/>
        <v>25996536.151723929</v>
      </c>
    </row>
    <row r="138" spans="1:22" x14ac:dyDescent="0.25">
      <c r="A138" s="11">
        <v>137</v>
      </c>
      <c r="B138" s="11" t="s">
        <v>199</v>
      </c>
      <c r="C138" s="12" t="s">
        <v>73</v>
      </c>
      <c r="D138" s="13">
        <f>Параметры!$C$4*Параметры!$C$7*(1+Параметры!$C$8)^INT((A138-Параметры!$C$11-1)/12)</f>
        <v>6155526.9522241727</v>
      </c>
      <c r="E138" s="13">
        <f>D138/(1+Параметры!$C$13)</f>
        <v>5129605.7935201442</v>
      </c>
      <c r="F138" s="13">
        <f t="shared" si="26"/>
        <v>1025921.1587040285</v>
      </c>
      <c r="G138" s="13">
        <f>IF(AND(A138&gt;Параметры!$C$11,A138&lt;=Параметры!$C$11+3),Параметры!$C$28,0)</f>
        <v>0</v>
      </c>
      <c r="H138" s="13">
        <f t="shared" si="27"/>
        <v>1025921.1587040285</v>
      </c>
      <c r="I138" s="13">
        <f>E138*Параметры!$C$16</f>
        <v>769440.86902802158</v>
      </c>
      <c r="J138" s="13">
        <f>Параметры!$C$27</f>
        <v>260416.66666666666</v>
      </c>
      <c r="K138" s="13">
        <f>MAX(0,Параметры!$C$20-Параметры!$C$27*MAX(0,A138-Параметры!$C$11-1))*Параметры!$C$15/12</f>
        <v>169010.41666666666</v>
      </c>
      <c r="L138" s="13">
        <f t="shared" si="28"/>
        <v>3930737.8411587896</v>
      </c>
      <c r="M138" s="13">
        <f>T137*Параметры!$C$10/12</f>
        <v>681302.92341314035</v>
      </c>
      <c r="N138" s="13">
        <f t="shared" si="29"/>
        <v>3249434.9177456493</v>
      </c>
      <c r="O138" s="13">
        <f>MAX(0,N138*Параметры!$C$14)</f>
        <v>649886.98354912992</v>
      </c>
      <c r="P138" s="13">
        <f t="shared" si="30"/>
        <v>2599547.9341965197</v>
      </c>
      <c r="Q138" s="13">
        <v>0</v>
      </c>
      <c r="R138" s="13">
        <v>0</v>
      </c>
      <c r="S138" s="13">
        <f>MAX(0,MIN(Параметры!$C$26-M138,T137))</f>
        <v>560959.03037331428</v>
      </c>
      <c r="T138" s="13">
        <f t="shared" si="31"/>
        <v>53943274.842677921</v>
      </c>
      <c r="U138" s="13">
        <f t="shared" si="32"/>
        <v>1273084.4117858433</v>
      </c>
      <c r="V138" s="13">
        <f t="shared" si="33"/>
        <v>27269620.563509773</v>
      </c>
    </row>
    <row r="139" spans="1:22" x14ac:dyDescent="0.25">
      <c r="A139" s="14">
        <v>138</v>
      </c>
      <c r="B139" s="14" t="s">
        <v>200</v>
      </c>
      <c r="C139" s="15" t="s">
        <v>73</v>
      </c>
      <c r="D139" s="9">
        <f>Параметры!$C$4*Параметры!$C$7*(1+Параметры!$C$8)^INT((A139-Параметры!$C$11-1)/12)</f>
        <v>6155526.9522241727</v>
      </c>
      <c r="E139" s="9">
        <f>D139/(1+Параметры!$C$13)</f>
        <v>5129605.7935201442</v>
      </c>
      <c r="F139" s="9">
        <f t="shared" si="26"/>
        <v>1025921.1587040285</v>
      </c>
      <c r="G139" s="9">
        <f>IF(AND(A139&gt;Параметры!$C$11,A139&lt;=Параметры!$C$11+3),Параметры!$C$28,0)</f>
        <v>0</v>
      </c>
      <c r="H139" s="9">
        <f t="shared" si="27"/>
        <v>1025921.1587040285</v>
      </c>
      <c r="I139" s="9">
        <f>E139*Параметры!$C$16</f>
        <v>769440.86902802158</v>
      </c>
      <c r="J139" s="9">
        <f>Параметры!$C$27</f>
        <v>260416.66666666666</v>
      </c>
      <c r="K139" s="9">
        <f>MAX(0,Параметры!$C$20-Параметры!$C$27*MAX(0,A139-Параметры!$C$11-1))*Параметры!$C$15/12</f>
        <v>168532.98611111112</v>
      </c>
      <c r="L139" s="9">
        <f t="shared" si="28"/>
        <v>3931215.2717143451</v>
      </c>
      <c r="M139" s="9">
        <f>T138*Параметры!$C$10/12</f>
        <v>674290.93553347397</v>
      </c>
      <c r="N139" s="9">
        <f t="shared" si="29"/>
        <v>3256924.3361808714</v>
      </c>
      <c r="O139" s="9">
        <f>MAX(0,N139*Параметры!$C$14)</f>
        <v>651384.86723617429</v>
      </c>
      <c r="P139" s="9">
        <f t="shared" si="30"/>
        <v>2605539.4689446972</v>
      </c>
      <c r="Q139" s="9">
        <v>0</v>
      </c>
      <c r="R139" s="9">
        <v>0</v>
      </c>
      <c r="S139" s="9">
        <f>MAX(0,MIN(Параметры!$C$26-M139,T138))</f>
        <v>567971.01825298066</v>
      </c>
      <c r="T139" s="9">
        <f t="shared" si="31"/>
        <v>53375303.824424937</v>
      </c>
      <c r="U139" s="9">
        <f t="shared" si="32"/>
        <v>1272063.9586543543</v>
      </c>
      <c r="V139" s="9">
        <f t="shared" si="33"/>
        <v>28541684.522164129</v>
      </c>
    </row>
    <row r="140" spans="1:22" x14ac:dyDescent="0.25">
      <c r="A140" s="11">
        <v>139</v>
      </c>
      <c r="B140" s="11" t="s">
        <v>201</v>
      </c>
      <c r="C140" s="12" t="s">
        <v>73</v>
      </c>
      <c r="D140" s="13">
        <f>Параметры!$C$4*Параметры!$C$7*(1+Параметры!$C$8)^INT((A140-Параметры!$C$11-1)/12)</f>
        <v>6155526.9522241727</v>
      </c>
      <c r="E140" s="13">
        <f>D140/(1+Параметры!$C$13)</f>
        <v>5129605.7935201442</v>
      </c>
      <c r="F140" s="13">
        <f t="shared" ref="F140:F171" si="34">D140-E140</f>
        <v>1025921.1587040285</v>
      </c>
      <c r="G140" s="13">
        <f>IF(AND(A140&gt;Параметры!$C$11,A140&lt;=Параметры!$C$11+3),Параметры!$C$28,0)</f>
        <v>0</v>
      </c>
      <c r="H140" s="13">
        <f t="shared" ref="H140:H171" si="35">F140-G140</f>
        <v>1025921.1587040285</v>
      </c>
      <c r="I140" s="13">
        <f>E140*Параметры!$C$16</f>
        <v>769440.86902802158</v>
      </c>
      <c r="J140" s="13">
        <f>Параметры!$C$27</f>
        <v>260416.66666666666</v>
      </c>
      <c r="K140" s="13">
        <f>MAX(0,Параметры!$C$20-Параметры!$C$27*MAX(0,A140-Параметры!$C$11-1))*Параметры!$C$15/12</f>
        <v>168055.55555555556</v>
      </c>
      <c r="L140" s="13">
        <f t="shared" ref="L140:L171" si="36">E140-I140-J140-K140</f>
        <v>3931692.7022699006</v>
      </c>
      <c r="M140" s="13">
        <f>T139*Параметры!$C$10/12</f>
        <v>667191.29780531174</v>
      </c>
      <c r="N140" s="13">
        <f t="shared" ref="N140:N171" si="37">L140-M140</f>
        <v>3264501.404464589</v>
      </c>
      <c r="O140" s="13">
        <f>MAX(0,N140*Параметры!$C$14)</f>
        <v>652900.28089291789</v>
      </c>
      <c r="P140" s="13">
        <f t="shared" ref="P140:P171" si="38">N140-O140</f>
        <v>2611601.1235716711</v>
      </c>
      <c r="Q140" s="13">
        <v>0</v>
      </c>
      <c r="R140" s="13">
        <v>0</v>
      </c>
      <c r="S140" s="13">
        <f>MAX(0,MIN(Параметры!$C$26-M140,T139))</f>
        <v>575070.65598114289</v>
      </c>
      <c r="T140" s="13">
        <f t="shared" ref="T140:T171" si="39">MAX(0,T139-S140)</f>
        <v>52800233.168443792</v>
      </c>
      <c r="U140" s="13">
        <f t="shared" ref="U140:U171" si="40">P140+J140-S140-H140</f>
        <v>1271025.9755531661</v>
      </c>
      <c r="V140" s="13">
        <f t="shared" si="33"/>
        <v>29812710.497717295</v>
      </c>
    </row>
    <row r="141" spans="1:22" x14ac:dyDescent="0.25">
      <c r="A141" s="14">
        <v>140</v>
      </c>
      <c r="B141" s="14" t="s">
        <v>202</v>
      </c>
      <c r="C141" s="15" t="s">
        <v>73</v>
      </c>
      <c r="D141" s="9">
        <f>Параметры!$C$4*Параметры!$C$7*(1+Параметры!$C$8)^INT((A141-Параметры!$C$11-1)/12)</f>
        <v>6155526.9522241727</v>
      </c>
      <c r="E141" s="9">
        <f>D141/(1+Параметры!$C$13)</f>
        <v>5129605.7935201442</v>
      </c>
      <c r="F141" s="9">
        <f t="shared" si="34"/>
        <v>1025921.1587040285</v>
      </c>
      <c r="G141" s="9">
        <f>IF(AND(A141&gt;Параметры!$C$11,A141&lt;=Параметры!$C$11+3),Параметры!$C$28,0)</f>
        <v>0</v>
      </c>
      <c r="H141" s="9">
        <f t="shared" si="35"/>
        <v>1025921.1587040285</v>
      </c>
      <c r="I141" s="9">
        <f>E141*Параметры!$C$16</f>
        <v>769440.86902802158</v>
      </c>
      <c r="J141" s="9">
        <f>Параметры!$C$27</f>
        <v>260416.66666666666</v>
      </c>
      <c r="K141" s="9">
        <f>MAX(0,Параметры!$C$20-Параметры!$C$27*MAX(0,A141-Параметры!$C$11-1))*Параметры!$C$15/12</f>
        <v>167578.12499999997</v>
      </c>
      <c r="L141" s="9">
        <f t="shared" si="36"/>
        <v>3932170.1328254561</v>
      </c>
      <c r="M141" s="9">
        <f>T140*Параметры!$C$10/12</f>
        <v>660002.91460554732</v>
      </c>
      <c r="N141" s="9">
        <f t="shared" si="37"/>
        <v>3272167.2182199089</v>
      </c>
      <c r="O141" s="9">
        <f>MAX(0,N141*Параметры!$C$14)</f>
        <v>654433.44364398182</v>
      </c>
      <c r="P141" s="9">
        <f t="shared" si="38"/>
        <v>2617733.7745759273</v>
      </c>
      <c r="Q141" s="9">
        <v>0</v>
      </c>
      <c r="R141" s="9">
        <v>0</v>
      </c>
      <c r="S141" s="9">
        <f>MAX(0,MIN(Параметры!$C$26-M141,T140))</f>
        <v>582259.0391809073</v>
      </c>
      <c r="T141" s="9">
        <f t="shared" si="39"/>
        <v>52217974.129262887</v>
      </c>
      <c r="U141" s="9">
        <f t="shared" si="40"/>
        <v>1269970.2433576579</v>
      </c>
      <c r="V141" s="9">
        <f t="shared" si="33"/>
        <v>31082680.741074953</v>
      </c>
    </row>
    <row r="142" spans="1:22" x14ac:dyDescent="0.25">
      <c r="A142" s="11">
        <v>141</v>
      </c>
      <c r="B142" s="11" t="s">
        <v>203</v>
      </c>
      <c r="C142" s="12" t="s">
        <v>73</v>
      </c>
      <c r="D142" s="13">
        <f>Параметры!$C$4*Параметры!$C$7*(1+Параметры!$C$8)^INT((A142-Параметры!$C$11-1)/12)</f>
        <v>6155526.9522241727</v>
      </c>
      <c r="E142" s="13">
        <f>D142/(1+Параметры!$C$13)</f>
        <v>5129605.7935201442</v>
      </c>
      <c r="F142" s="13">
        <f t="shared" si="34"/>
        <v>1025921.1587040285</v>
      </c>
      <c r="G142" s="13">
        <f>IF(AND(A142&gt;Параметры!$C$11,A142&lt;=Параметры!$C$11+3),Параметры!$C$28,0)</f>
        <v>0</v>
      </c>
      <c r="H142" s="13">
        <f t="shared" si="35"/>
        <v>1025921.1587040285</v>
      </c>
      <c r="I142" s="13">
        <f>E142*Параметры!$C$16</f>
        <v>769440.86902802158</v>
      </c>
      <c r="J142" s="13">
        <f>Параметры!$C$27</f>
        <v>260416.66666666666</v>
      </c>
      <c r="K142" s="13">
        <f>MAX(0,Параметры!$C$20-Параметры!$C$27*MAX(0,A142-Параметры!$C$11-1))*Параметры!$C$15/12</f>
        <v>167100.69444444447</v>
      </c>
      <c r="L142" s="13">
        <f t="shared" si="36"/>
        <v>3932647.5633810116</v>
      </c>
      <c r="M142" s="13">
        <f>T141*Параметры!$C$10/12</f>
        <v>652724.67661578604</v>
      </c>
      <c r="N142" s="13">
        <f t="shared" si="37"/>
        <v>3279922.8867652258</v>
      </c>
      <c r="O142" s="13">
        <f>MAX(0,N142*Параметры!$C$14)</f>
        <v>655984.57735304523</v>
      </c>
      <c r="P142" s="13">
        <f t="shared" si="38"/>
        <v>2623938.3094121804</v>
      </c>
      <c r="Q142" s="13">
        <v>0</v>
      </c>
      <c r="R142" s="13">
        <v>0</v>
      </c>
      <c r="S142" s="13">
        <f>MAX(0,MIN(Параметры!$C$26-M142,T141))</f>
        <v>589537.27717066859</v>
      </c>
      <c r="T142" s="13">
        <f t="shared" si="39"/>
        <v>51628436.852092221</v>
      </c>
      <c r="U142" s="13">
        <f t="shared" si="40"/>
        <v>1268896.5402041497</v>
      </c>
      <c r="V142" s="13">
        <f t="shared" si="33"/>
        <v>32351577.281279102</v>
      </c>
    </row>
    <row r="143" spans="1:22" x14ac:dyDescent="0.25">
      <c r="A143" s="14">
        <v>142</v>
      </c>
      <c r="B143" s="14" t="s">
        <v>204</v>
      </c>
      <c r="C143" s="15" t="s">
        <v>73</v>
      </c>
      <c r="D143" s="9">
        <f>Параметры!$C$4*Параметры!$C$7*(1+Параметры!$C$8)^INT((A143-Параметры!$C$11-1)/12)</f>
        <v>6155526.9522241727</v>
      </c>
      <c r="E143" s="9">
        <f>D143/(1+Параметры!$C$13)</f>
        <v>5129605.7935201442</v>
      </c>
      <c r="F143" s="9">
        <f t="shared" si="34"/>
        <v>1025921.1587040285</v>
      </c>
      <c r="G143" s="9">
        <f>IF(AND(A143&gt;Параметры!$C$11,A143&lt;=Параметры!$C$11+3),Параметры!$C$28,0)</f>
        <v>0</v>
      </c>
      <c r="H143" s="9">
        <f t="shared" si="35"/>
        <v>1025921.1587040285</v>
      </c>
      <c r="I143" s="9">
        <f>E143*Параметры!$C$16</f>
        <v>769440.86902802158</v>
      </c>
      <c r="J143" s="9">
        <f>Параметры!$C$27</f>
        <v>260416.66666666666</v>
      </c>
      <c r="K143" s="9">
        <f>MAX(0,Параметры!$C$20-Параметры!$C$27*MAX(0,A143-Параметры!$C$11-1))*Параметры!$C$15/12</f>
        <v>166623.26388888891</v>
      </c>
      <c r="L143" s="9">
        <f t="shared" si="36"/>
        <v>3933124.9939365671</v>
      </c>
      <c r="M143" s="9">
        <f>T142*Параметры!$C$10/12</f>
        <v>645355.46065115277</v>
      </c>
      <c r="N143" s="9">
        <f t="shared" si="37"/>
        <v>3287769.5332854143</v>
      </c>
      <c r="O143" s="9">
        <f>MAX(0,N143*Параметры!$C$14)</f>
        <v>657553.90665708296</v>
      </c>
      <c r="P143" s="9">
        <f t="shared" si="38"/>
        <v>2630215.6266283314</v>
      </c>
      <c r="Q143" s="9">
        <v>0</v>
      </c>
      <c r="R143" s="9">
        <v>0</v>
      </c>
      <c r="S143" s="9">
        <f>MAX(0,MIN(Параметры!$C$26-M143,T142))</f>
        <v>596906.49313530186</v>
      </c>
      <c r="T143" s="9">
        <f t="shared" si="39"/>
        <v>51031530.358956918</v>
      </c>
      <c r="U143" s="9">
        <f t="shared" si="40"/>
        <v>1267804.6414556676</v>
      </c>
      <c r="V143" s="9">
        <f t="shared" si="33"/>
        <v>33619381.922734767</v>
      </c>
    </row>
    <row r="144" spans="1:22" x14ac:dyDescent="0.25">
      <c r="A144" s="11">
        <v>143</v>
      </c>
      <c r="B144" s="11" t="s">
        <v>205</v>
      </c>
      <c r="C144" s="12" t="s">
        <v>73</v>
      </c>
      <c r="D144" s="13">
        <f>Параметры!$C$4*Параметры!$C$7*(1+Параметры!$C$8)^INT((A144-Параметры!$C$11-1)/12)</f>
        <v>6647969.108402106</v>
      </c>
      <c r="E144" s="13">
        <f>D144/(1+Параметры!$C$13)</f>
        <v>5539974.2570017548</v>
      </c>
      <c r="F144" s="13">
        <f t="shared" si="34"/>
        <v>1107994.8514003512</v>
      </c>
      <c r="G144" s="13">
        <f>IF(AND(A144&gt;Параметры!$C$11,A144&lt;=Параметры!$C$11+3),Параметры!$C$28,0)</f>
        <v>0</v>
      </c>
      <c r="H144" s="13">
        <f t="shared" si="35"/>
        <v>1107994.8514003512</v>
      </c>
      <c r="I144" s="13">
        <f>E144*Параметры!$C$16</f>
        <v>830996.13855026325</v>
      </c>
      <c r="J144" s="13">
        <f>Параметры!$C$27</f>
        <v>260416.66666666666</v>
      </c>
      <c r="K144" s="13">
        <f>MAX(0,Параметры!$C$20-Параметры!$C$27*MAX(0,A144-Параметры!$C$11-1))*Параметры!$C$15/12</f>
        <v>166145.83333333334</v>
      </c>
      <c r="L144" s="13">
        <f t="shared" si="36"/>
        <v>4282415.6184514919</v>
      </c>
      <c r="M144" s="13">
        <f>T143*Параметры!$C$10/12</f>
        <v>637894.12948696141</v>
      </c>
      <c r="N144" s="13">
        <f t="shared" si="37"/>
        <v>3644521.4889645306</v>
      </c>
      <c r="O144" s="13">
        <f>MAX(0,N144*Параметры!$C$14)</f>
        <v>728904.29779290617</v>
      </c>
      <c r="P144" s="13">
        <f t="shared" si="38"/>
        <v>2915617.1911716247</v>
      </c>
      <c r="Q144" s="13">
        <v>0</v>
      </c>
      <c r="R144" s="13">
        <v>0</v>
      </c>
      <c r="S144" s="13">
        <f>MAX(0,MIN(Параметры!$C$26-M144,T143))</f>
        <v>604367.82429949322</v>
      </c>
      <c r="T144" s="13">
        <f t="shared" si="39"/>
        <v>50427162.534657426</v>
      </c>
      <c r="U144" s="13">
        <f t="shared" si="40"/>
        <v>1463671.1821384467</v>
      </c>
      <c r="V144" s="13">
        <f t="shared" si="33"/>
        <v>35083053.10487321</v>
      </c>
    </row>
    <row r="145" spans="1:22" x14ac:dyDescent="0.25">
      <c r="A145" s="14">
        <v>144</v>
      </c>
      <c r="B145" s="14" t="s">
        <v>206</v>
      </c>
      <c r="C145" s="15" t="s">
        <v>73</v>
      </c>
      <c r="D145" s="9">
        <f>Параметры!$C$4*Параметры!$C$7*(1+Параметры!$C$8)^INT((A145-Параметры!$C$11-1)/12)</f>
        <v>6647969.108402106</v>
      </c>
      <c r="E145" s="9">
        <f>D145/(1+Параметры!$C$13)</f>
        <v>5539974.2570017548</v>
      </c>
      <c r="F145" s="9">
        <f t="shared" si="34"/>
        <v>1107994.8514003512</v>
      </c>
      <c r="G145" s="9">
        <f>IF(AND(A145&gt;Параметры!$C$11,A145&lt;=Параметры!$C$11+3),Параметры!$C$28,0)</f>
        <v>0</v>
      </c>
      <c r="H145" s="9">
        <f t="shared" si="35"/>
        <v>1107994.8514003512</v>
      </c>
      <c r="I145" s="9">
        <f>E145*Параметры!$C$16</f>
        <v>830996.13855026325</v>
      </c>
      <c r="J145" s="9">
        <f>Параметры!$C$27</f>
        <v>260416.66666666666</v>
      </c>
      <c r="K145" s="9">
        <f>MAX(0,Параметры!$C$20-Параметры!$C$27*MAX(0,A145-Параметры!$C$11-1))*Параметры!$C$15/12</f>
        <v>165668.40277777778</v>
      </c>
      <c r="L145" s="9">
        <f t="shared" si="36"/>
        <v>4282893.049007047</v>
      </c>
      <c r="M145" s="9">
        <f>T144*Параметры!$C$10/12</f>
        <v>630339.53168321785</v>
      </c>
      <c r="N145" s="9">
        <f t="shared" si="37"/>
        <v>3652553.5173238292</v>
      </c>
      <c r="O145" s="9">
        <f>MAX(0,N145*Параметры!$C$14)</f>
        <v>730510.70346476592</v>
      </c>
      <c r="P145" s="9">
        <f t="shared" si="38"/>
        <v>2922042.8138590632</v>
      </c>
      <c r="Q145" s="9">
        <v>0</v>
      </c>
      <c r="R145" s="9">
        <v>0</v>
      </c>
      <c r="S145" s="9">
        <f>MAX(0,MIN(Параметры!$C$26-M145,T144))</f>
        <v>611922.42210323678</v>
      </c>
      <c r="T145" s="9">
        <f t="shared" si="39"/>
        <v>49815240.112554193</v>
      </c>
      <c r="U145" s="9">
        <f t="shared" si="40"/>
        <v>1462542.2070221417</v>
      </c>
      <c r="V145" s="9">
        <f t="shared" si="33"/>
        <v>36545595.311895356</v>
      </c>
    </row>
    <row r="146" spans="1:22" x14ac:dyDescent="0.25">
      <c r="A146" s="11">
        <v>145</v>
      </c>
      <c r="B146" s="11" t="s">
        <v>207</v>
      </c>
      <c r="C146" s="12" t="s">
        <v>73</v>
      </c>
      <c r="D146" s="13">
        <f>Параметры!$C$4*Параметры!$C$7*(1+Параметры!$C$8)^INT((A146-Параметры!$C$11-1)/12)</f>
        <v>6647969.108402106</v>
      </c>
      <c r="E146" s="13">
        <f>D146/(1+Параметры!$C$13)</f>
        <v>5539974.2570017548</v>
      </c>
      <c r="F146" s="13">
        <f t="shared" si="34"/>
        <v>1107994.8514003512</v>
      </c>
      <c r="G146" s="13">
        <f>IF(AND(A146&gt;Параметры!$C$11,A146&lt;=Параметры!$C$11+3),Параметры!$C$28,0)</f>
        <v>0</v>
      </c>
      <c r="H146" s="13">
        <f t="shared" si="35"/>
        <v>1107994.8514003512</v>
      </c>
      <c r="I146" s="13">
        <f>E146*Параметры!$C$16</f>
        <v>830996.13855026325</v>
      </c>
      <c r="J146" s="13">
        <f>Параметры!$C$27</f>
        <v>260416.66666666666</v>
      </c>
      <c r="K146" s="13">
        <f>MAX(0,Параметры!$C$20-Параметры!$C$27*MAX(0,A146-Параметры!$C$11-1))*Параметры!$C$15/12</f>
        <v>165190.97222222222</v>
      </c>
      <c r="L146" s="13">
        <f t="shared" si="36"/>
        <v>4283370.4795626029</v>
      </c>
      <c r="M146" s="13">
        <f>T145*Параметры!$C$10/12</f>
        <v>622690.50140692736</v>
      </c>
      <c r="N146" s="13">
        <f t="shared" si="37"/>
        <v>3660679.9781556753</v>
      </c>
      <c r="O146" s="13">
        <f>MAX(0,N146*Параметры!$C$14)</f>
        <v>732135.99563113507</v>
      </c>
      <c r="P146" s="13">
        <f t="shared" si="38"/>
        <v>2928543.9825245403</v>
      </c>
      <c r="Q146" s="13">
        <v>0</v>
      </c>
      <c r="R146" s="13">
        <v>0</v>
      </c>
      <c r="S146" s="13">
        <f>MAX(0,MIN(Параметры!$C$26-M146,T145))</f>
        <v>619571.45237952727</v>
      </c>
      <c r="T146" s="13">
        <f t="shared" si="39"/>
        <v>49195668.660174668</v>
      </c>
      <c r="U146" s="13">
        <f t="shared" si="40"/>
        <v>1461394.3454113286</v>
      </c>
      <c r="V146" s="13">
        <f t="shared" si="33"/>
        <v>38006989.657306686</v>
      </c>
    </row>
    <row r="147" spans="1:22" x14ac:dyDescent="0.25">
      <c r="A147" s="14">
        <v>146</v>
      </c>
      <c r="B147" s="14" t="s">
        <v>208</v>
      </c>
      <c r="C147" s="15" t="s">
        <v>73</v>
      </c>
      <c r="D147" s="9">
        <f>Параметры!$C$4*Параметры!$C$7*(1+Параметры!$C$8)^INT((A147-Параметры!$C$11-1)/12)</f>
        <v>6647969.108402106</v>
      </c>
      <c r="E147" s="9">
        <f>D147/(1+Параметры!$C$13)</f>
        <v>5539974.2570017548</v>
      </c>
      <c r="F147" s="9">
        <f t="shared" si="34"/>
        <v>1107994.8514003512</v>
      </c>
      <c r="G147" s="9">
        <f>IF(AND(A147&gt;Параметры!$C$11,A147&lt;=Параметры!$C$11+3),Параметры!$C$28,0)</f>
        <v>0</v>
      </c>
      <c r="H147" s="9">
        <f t="shared" si="35"/>
        <v>1107994.8514003512</v>
      </c>
      <c r="I147" s="9">
        <f>E147*Параметры!$C$16</f>
        <v>830996.13855026325</v>
      </c>
      <c r="J147" s="9">
        <f>Параметры!$C$27</f>
        <v>260416.66666666666</v>
      </c>
      <c r="K147" s="9">
        <f>MAX(0,Параметры!$C$20-Параметры!$C$27*MAX(0,A147-Параметры!$C$11-1))*Параметры!$C$15/12</f>
        <v>164713.54166666666</v>
      </c>
      <c r="L147" s="9">
        <f t="shared" si="36"/>
        <v>4283847.910118158</v>
      </c>
      <c r="M147" s="9">
        <f>T146*Параметры!$C$10/12</f>
        <v>614945.8582521833</v>
      </c>
      <c r="N147" s="9">
        <f t="shared" si="37"/>
        <v>3668902.0518659744</v>
      </c>
      <c r="O147" s="9">
        <f>MAX(0,N147*Параметры!$C$14)</f>
        <v>733780.41037319496</v>
      </c>
      <c r="P147" s="9">
        <f t="shared" si="38"/>
        <v>2935121.6414927794</v>
      </c>
      <c r="Q147" s="9">
        <v>0</v>
      </c>
      <c r="R147" s="9">
        <v>0</v>
      </c>
      <c r="S147" s="9">
        <f>MAX(0,MIN(Параметры!$C$26-M147,T146))</f>
        <v>627316.09553427133</v>
      </c>
      <c r="T147" s="9">
        <f t="shared" si="39"/>
        <v>48568352.564640395</v>
      </c>
      <c r="U147" s="9">
        <f t="shared" si="40"/>
        <v>1460227.3612248236</v>
      </c>
      <c r="V147" s="9">
        <f t="shared" si="33"/>
        <v>39467217.018531509</v>
      </c>
    </row>
    <row r="148" spans="1:22" x14ac:dyDescent="0.25">
      <c r="A148" s="11">
        <v>147</v>
      </c>
      <c r="B148" s="11" t="s">
        <v>209</v>
      </c>
      <c r="C148" s="12" t="s">
        <v>73</v>
      </c>
      <c r="D148" s="13">
        <f>Параметры!$C$4*Параметры!$C$7*(1+Параметры!$C$8)^INT((A148-Параметры!$C$11-1)/12)</f>
        <v>6647969.108402106</v>
      </c>
      <c r="E148" s="13">
        <f>D148/(1+Параметры!$C$13)</f>
        <v>5539974.2570017548</v>
      </c>
      <c r="F148" s="13">
        <f t="shared" si="34"/>
        <v>1107994.8514003512</v>
      </c>
      <c r="G148" s="13">
        <f>IF(AND(A148&gt;Параметры!$C$11,A148&lt;=Параметры!$C$11+3),Параметры!$C$28,0)</f>
        <v>0</v>
      </c>
      <c r="H148" s="13">
        <f t="shared" si="35"/>
        <v>1107994.8514003512</v>
      </c>
      <c r="I148" s="13">
        <f>E148*Параметры!$C$16</f>
        <v>830996.13855026325</v>
      </c>
      <c r="J148" s="13">
        <f>Параметры!$C$27</f>
        <v>260416.66666666666</v>
      </c>
      <c r="K148" s="13">
        <f>MAX(0,Параметры!$C$20-Параметры!$C$27*MAX(0,A148-Параметры!$C$11-1))*Параметры!$C$15/12</f>
        <v>164236.11111111112</v>
      </c>
      <c r="L148" s="13">
        <f t="shared" si="36"/>
        <v>4284325.3406737139</v>
      </c>
      <c r="M148" s="13">
        <f>T147*Параметры!$C$10/12</f>
        <v>607104.40705800487</v>
      </c>
      <c r="N148" s="13">
        <f t="shared" si="37"/>
        <v>3677220.9336157092</v>
      </c>
      <c r="O148" s="13">
        <f>MAX(0,N148*Параметры!$C$14)</f>
        <v>735444.18672314193</v>
      </c>
      <c r="P148" s="13">
        <f t="shared" si="38"/>
        <v>2941776.7468925673</v>
      </c>
      <c r="Q148" s="13">
        <v>0</v>
      </c>
      <c r="R148" s="13">
        <v>0</v>
      </c>
      <c r="S148" s="13">
        <f>MAX(0,MIN(Параметры!$C$26-M148,T147))</f>
        <v>635157.54672844976</v>
      </c>
      <c r="T148" s="13">
        <f t="shared" si="39"/>
        <v>47933195.017911948</v>
      </c>
      <c r="U148" s="13">
        <f t="shared" si="40"/>
        <v>1459041.0154304327</v>
      </c>
      <c r="V148" s="13">
        <f t="shared" si="33"/>
        <v>40926258.033961944</v>
      </c>
    </row>
    <row r="149" spans="1:22" x14ac:dyDescent="0.25">
      <c r="A149" s="14">
        <v>148</v>
      </c>
      <c r="B149" s="14" t="s">
        <v>210</v>
      </c>
      <c r="C149" s="15" t="s">
        <v>73</v>
      </c>
      <c r="D149" s="9">
        <f>Параметры!$C$4*Параметры!$C$7*(1+Параметры!$C$8)^INT((A149-Параметры!$C$11-1)/12)</f>
        <v>6647969.108402106</v>
      </c>
      <c r="E149" s="9">
        <f>D149/(1+Параметры!$C$13)</f>
        <v>5539974.2570017548</v>
      </c>
      <c r="F149" s="9">
        <f t="shared" si="34"/>
        <v>1107994.8514003512</v>
      </c>
      <c r="G149" s="9">
        <f>IF(AND(A149&gt;Параметры!$C$11,A149&lt;=Параметры!$C$11+3),Параметры!$C$28,0)</f>
        <v>0</v>
      </c>
      <c r="H149" s="9">
        <f t="shared" si="35"/>
        <v>1107994.8514003512</v>
      </c>
      <c r="I149" s="9">
        <f>E149*Параметры!$C$16</f>
        <v>830996.13855026325</v>
      </c>
      <c r="J149" s="9">
        <f>Параметры!$C$27</f>
        <v>260416.66666666666</v>
      </c>
      <c r="K149" s="9">
        <f>MAX(0,Параметры!$C$20-Параметры!$C$27*MAX(0,A149-Параметры!$C$11-1))*Параметры!$C$15/12</f>
        <v>163758.68055555556</v>
      </c>
      <c r="L149" s="9">
        <f t="shared" si="36"/>
        <v>4284802.771229269</v>
      </c>
      <c r="M149" s="9">
        <f>T148*Параметры!$C$10/12</f>
        <v>599164.93772389938</v>
      </c>
      <c r="N149" s="9">
        <f t="shared" si="37"/>
        <v>3685637.8335053697</v>
      </c>
      <c r="O149" s="9">
        <f>MAX(0,N149*Параметры!$C$14)</f>
        <v>737127.56670107401</v>
      </c>
      <c r="P149" s="9">
        <f t="shared" si="38"/>
        <v>2948510.2668042956</v>
      </c>
      <c r="Q149" s="9">
        <v>0</v>
      </c>
      <c r="R149" s="9">
        <v>0</v>
      </c>
      <c r="S149" s="9">
        <f>MAX(0,MIN(Параметры!$C$26-M149,T148))</f>
        <v>643097.01606255525</v>
      </c>
      <c r="T149" s="9">
        <f t="shared" si="39"/>
        <v>47290098.001849391</v>
      </c>
      <c r="U149" s="9">
        <f t="shared" si="40"/>
        <v>1457835.0660080556</v>
      </c>
      <c r="V149" s="9">
        <f t="shared" si="33"/>
        <v>42384093.099969998</v>
      </c>
    </row>
    <row r="150" spans="1:22" x14ac:dyDescent="0.25">
      <c r="A150" s="11">
        <v>149</v>
      </c>
      <c r="B150" s="11" t="s">
        <v>211</v>
      </c>
      <c r="C150" s="12" t="s">
        <v>73</v>
      </c>
      <c r="D150" s="13">
        <f>Параметры!$C$4*Параметры!$C$7*(1+Параметры!$C$8)^INT((A150-Параметры!$C$11-1)/12)</f>
        <v>6647969.108402106</v>
      </c>
      <c r="E150" s="13">
        <f>D150/(1+Параметры!$C$13)</f>
        <v>5539974.2570017548</v>
      </c>
      <c r="F150" s="13">
        <f t="shared" si="34"/>
        <v>1107994.8514003512</v>
      </c>
      <c r="G150" s="13">
        <f>IF(AND(A150&gt;Параметры!$C$11,A150&lt;=Параметры!$C$11+3),Параметры!$C$28,0)</f>
        <v>0</v>
      </c>
      <c r="H150" s="13">
        <f t="shared" si="35"/>
        <v>1107994.8514003512</v>
      </c>
      <c r="I150" s="13">
        <f>E150*Параметры!$C$16</f>
        <v>830996.13855026325</v>
      </c>
      <c r="J150" s="13">
        <f>Параметры!$C$27</f>
        <v>260416.66666666666</v>
      </c>
      <c r="K150" s="13">
        <f>MAX(0,Параметры!$C$20-Параметры!$C$27*MAX(0,A150-Параметры!$C$11-1))*Параметры!$C$15/12</f>
        <v>163281.25</v>
      </c>
      <c r="L150" s="13">
        <f t="shared" si="36"/>
        <v>4285280.201784825</v>
      </c>
      <c r="M150" s="13">
        <f>T149*Параметры!$C$10/12</f>
        <v>591126.22502311738</v>
      </c>
      <c r="N150" s="13">
        <f t="shared" si="37"/>
        <v>3694153.9767617076</v>
      </c>
      <c r="O150" s="13">
        <f>MAX(0,N150*Параметры!$C$14)</f>
        <v>738830.79535234161</v>
      </c>
      <c r="P150" s="13">
        <f t="shared" si="38"/>
        <v>2955323.181409366</v>
      </c>
      <c r="Q150" s="13">
        <v>0</v>
      </c>
      <c r="R150" s="13">
        <v>0</v>
      </c>
      <c r="S150" s="13">
        <f>MAX(0,MIN(Параметры!$C$26-M150,T149))</f>
        <v>651135.72876333725</v>
      </c>
      <c r="T150" s="13">
        <f t="shared" si="39"/>
        <v>46638962.273086056</v>
      </c>
      <c r="U150" s="13">
        <f t="shared" si="40"/>
        <v>1456609.2679123441</v>
      </c>
      <c r="V150" s="13">
        <f t="shared" si="33"/>
        <v>43840702.367882341</v>
      </c>
    </row>
    <row r="151" spans="1:22" x14ac:dyDescent="0.25">
      <c r="A151" s="14">
        <v>150</v>
      </c>
      <c r="B151" s="14" t="s">
        <v>212</v>
      </c>
      <c r="C151" s="15" t="s">
        <v>73</v>
      </c>
      <c r="D151" s="9">
        <f>Параметры!$C$4*Параметры!$C$7*(1+Параметры!$C$8)^INT((A151-Параметры!$C$11-1)/12)</f>
        <v>6647969.108402106</v>
      </c>
      <c r="E151" s="9">
        <f>D151/(1+Параметры!$C$13)</f>
        <v>5539974.2570017548</v>
      </c>
      <c r="F151" s="9">
        <f t="shared" si="34"/>
        <v>1107994.8514003512</v>
      </c>
      <c r="G151" s="9">
        <f>IF(AND(A151&gt;Параметры!$C$11,A151&lt;=Параметры!$C$11+3),Параметры!$C$28,0)</f>
        <v>0</v>
      </c>
      <c r="H151" s="9">
        <f t="shared" si="35"/>
        <v>1107994.8514003512</v>
      </c>
      <c r="I151" s="9">
        <f>E151*Параметры!$C$16</f>
        <v>830996.13855026325</v>
      </c>
      <c r="J151" s="9">
        <f>Параметры!$C$27</f>
        <v>260416.66666666666</v>
      </c>
      <c r="K151" s="9">
        <f>MAX(0,Параметры!$C$20-Параметры!$C$27*MAX(0,A151-Параметры!$C$11-1))*Параметры!$C$15/12</f>
        <v>162803.81944444447</v>
      </c>
      <c r="L151" s="9">
        <f t="shared" si="36"/>
        <v>4285757.6323403809</v>
      </c>
      <c r="M151" s="9">
        <f>T150*Параметры!$C$10/12</f>
        <v>582987.02841357572</v>
      </c>
      <c r="N151" s="9">
        <f t="shared" si="37"/>
        <v>3702770.6039268053</v>
      </c>
      <c r="O151" s="9">
        <f>MAX(0,N151*Параметры!$C$14)</f>
        <v>740554.12078536116</v>
      </c>
      <c r="P151" s="9">
        <f t="shared" si="38"/>
        <v>2962216.4831414442</v>
      </c>
      <c r="Q151" s="9">
        <v>0</v>
      </c>
      <c r="R151" s="9">
        <v>0</v>
      </c>
      <c r="S151" s="9">
        <f>MAX(0,MIN(Параметры!$C$26-M151,T150))</f>
        <v>659274.9253728789</v>
      </c>
      <c r="T151" s="9">
        <f t="shared" si="39"/>
        <v>45979687.34771318</v>
      </c>
      <c r="U151" s="9">
        <f t="shared" si="40"/>
        <v>1455363.3730348805</v>
      </c>
      <c r="V151" s="9">
        <f t="shared" si="33"/>
        <v>45296065.740917221</v>
      </c>
    </row>
    <row r="152" spans="1:22" x14ac:dyDescent="0.25">
      <c r="A152" s="11">
        <v>151</v>
      </c>
      <c r="B152" s="11" t="s">
        <v>213</v>
      </c>
      <c r="C152" s="12" t="s">
        <v>73</v>
      </c>
      <c r="D152" s="13">
        <f>Параметры!$C$4*Параметры!$C$7*(1+Параметры!$C$8)^INT((A152-Параметры!$C$11-1)/12)</f>
        <v>6647969.108402106</v>
      </c>
      <c r="E152" s="13">
        <f>D152/(1+Параметры!$C$13)</f>
        <v>5539974.2570017548</v>
      </c>
      <c r="F152" s="13">
        <f t="shared" si="34"/>
        <v>1107994.8514003512</v>
      </c>
      <c r="G152" s="13">
        <f>IF(AND(A152&gt;Параметры!$C$11,A152&lt;=Параметры!$C$11+3),Параметры!$C$28,0)</f>
        <v>0</v>
      </c>
      <c r="H152" s="13">
        <f t="shared" si="35"/>
        <v>1107994.8514003512</v>
      </c>
      <c r="I152" s="13">
        <f>E152*Параметры!$C$16</f>
        <v>830996.13855026325</v>
      </c>
      <c r="J152" s="13">
        <f>Параметры!$C$27</f>
        <v>260416.66666666666</v>
      </c>
      <c r="K152" s="13">
        <f>MAX(0,Параметры!$C$20-Параметры!$C$27*MAX(0,A152-Параметры!$C$11-1))*Параметры!$C$15/12</f>
        <v>162326.38888888891</v>
      </c>
      <c r="L152" s="13">
        <f t="shared" si="36"/>
        <v>4286235.062895936</v>
      </c>
      <c r="M152" s="13">
        <f>T151*Параметры!$C$10/12</f>
        <v>574746.09184641473</v>
      </c>
      <c r="N152" s="13">
        <f t="shared" si="37"/>
        <v>3711488.9710495211</v>
      </c>
      <c r="O152" s="13">
        <f>MAX(0,N152*Параметры!$C$14)</f>
        <v>742297.79420990427</v>
      </c>
      <c r="P152" s="13">
        <f t="shared" si="38"/>
        <v>2969191.1768396171</v>
      </c>
      <c r="Q152" s="13">
        <v>0</v>
      </c>
      <c r="R152" s="13">
        <v>0</v>
      </c>
      <c r="S152" s="13">
        <f>MAX(0,MIN(Параметры!$C$26-M152,T151))</f>
        <v>667515.8619400399</v>
      </c>
      <c r="T152" s="13">
        <f t="shared" si="39"/>
        <v>45312171.485773139</v>
      </c>
      <c r="U152" s="13">
        <f t="shared" si="40"/>
        <v>1454097.1301658927</v>
      </c>
      <c r="V152" s="13">
        <f t="shared" si="33"/>
        <v>46750162.871083111</v>
      </c>
    </row>
    <row r="153" spans="1:22" x14ac:dyDescent="0.25">
      <c r="A153" s="14">
        <v>152</v>
      </c>
      <c r="B153" s="14" t="s">
        <v>214</v>
      </c>
      <c r="C153" s="15" t="s">
        <v>73</v>
      </c>
      <c r="D153" s="9">
        <f>Параметры!$C$4*Параметры!$C$7*(1+Параметры!$C$8)^INT((A153-Параметры!$C$11-1)/12)</f>
        <v>6647969.108402106</v>
      </c>
      <c r="E153" s="9">
        <f>D153/(1+Параметры!$C$13)</f>
        <v>5539974.2570017548</v>
      </c>
      <c r="F153" s="9">
        <f t="shared" si="34"/>
        <v>1107994.8514003512</v>
      </c>
      <c r="G153" s="9">
        <f>IF(AND(A153&gt;Параметры!$C$11,A153&lt;=Параметры!$C$11+3),Параметры!$C$28,0)</f>
        <v>0</v>
      </c>
      <c r="H153" s="9">
        <f t="shared" si="35"/>
        <v>1107994.8514003512</v>
      </c>
      <c r="I153" s="9">
        <f>E153*Параметры!$C$16</f>
        <v>830996.13855026325</v>
      </c>
      <c r="J153" s="9">
        <f>Параметры!$C$27</f>
        <v>260416.66666666666</v>
      </c>
      <c r="K153" s="9">
        <f>MAX(0,Параметры!$C$20-Параметры!$C$27*MAX(0,A153-Параметры!$C$11-1))*Параметры!$C$15/12</f>
        <v>161848.95833333334</v>
      </c>
      <c r="L153" s="9">
        <f t="shared" si="36"/>
        <v>4286712.4934514919</v>
      </c>
      <c r="M153" s="9">
        <f>T152*Параметры!$C$10/12</f>
        <v>566402.14357216423</v>
      </c>
      <c r="N153" s="9">
        <f t="shared" si="37"/>
        <v>3720310.3498793277</v>
      </c>
      <c r="O153" s="9">
        <f>MAX(0,N153*Параметры!$C$14)</f>
        <v>744062.06997586554</v>
      </c>
      <c r="P153" s="9">
        <f t="shared" si="38"/>
        <v>2976248.2799034622</v>
      </c>
      <c r="Q153" s="9">
        <v>0</v>
      </c>
      <c r="R153" s="9">
        <v>0</v>
      </c>
      <c r="S153" s="9">
        <f>MAX(0,MIN(Параметры!$C$26-M153,T152))</f>
        <v>675859.8102142904</v>
      </c>
      <c r="T153" s="9">
        <f t="shared" si="39"/>
        <v>44636311.67555885</v>
      </c>
      <c r="U153" s="9">
        <f t="shared" si="40"/>
        <v>1452810.2849554871</v>
      </c>
      <c r="V153" s="9">
        <f t="shared" si="33"/>
        <v>48202973.156038597</v>
      </c>
    </row>
    <row r="154" spans="1:22" x14ac:dyDescent="0.25">
      <c r="A154" s="11">
        <v>153</v>
      </c>
      <c r="B154" s="11" t="s">
        <v>215</v>
      </c>
      <c r="C154" s="12" t="s">
        <v>73</v>
      </c>
      <c r="D154" s="13">
        <f>Параметры!$C$4*Параметры!$C$7*(1+Параметры!$C$8)^INT((A154-Параметры!$C$11-1)/12)</f>
        <v>6647969.108402106</v>
      </c>
      <c r="E154" s="13">
        <f>D154/(1+Параметры!$C$13)</f>
        <v>5539974.2570017548</v>
      </c>
      <c r="F154" s="13">
        <f t="shared" si="34"/>
        <v>1107994.8514003512</v>
      </c>
      <c r="G154" s="13">
        <f>IF(AND(A154&gt;Параметры!$C$11,A154&lt;=Параметры!$C$11+3),Параметры!$C$28,0)</f>
        <v>0</v>
      </c>
      <c r="H154" s="13">
        <f t="shared" si="35"/>
        <v>1107994.8514003512</v>
      </c>
      <c r="I154" s="13">
        <f>E154*Параметры!$C$16</f>
        <v>830996.13855026325</v>
      </c>
      <c r="J154" s="13">
        <f>Параметры!$C$27</f>
        <v>260416.66666666666</v>
      </c>
      <c r="K154" s="13">
        <f>MAX(0,Параметры!$C$20-Параметры!$C$27*MAX(0,A154-Параметры!$C$11-1))*Параметры!$C$15/12</f>
        <v>161371.52777777778</v>
      </c>
      <c r="L154" s="13">
        <f t="shared" si="36"/>
        <v>4287189.924007047</v>
      </c>
      <c r="M154" s="13">
        <f>T153*Параметры!$C$10/12</f>
        <v>557953.89594448556</v>
      </c>
      <c r="N154" s="13">
        <f t="shared" si="37"/>
        <v>3729236.0280625615</v>
      </c>
      <c r="O154" s="13">
        <f>MAX(0,N154*Параметры!$C$14)</f>
        <v>745847.20561251231</v>
      </c>
      <c r="P154" s="13">
        <f t="shared" si="38"/>
        <v>2983388.8224500492</v>
      </c>
      <c r="Q154" s="13">
        <v>0</v>
      </c>
      <c r="R154" s="13">
        <v>0</v>
      </c>
      <c r="S154" s="13">
        <f>MAX(0,MIN(Параметры!$C$26-M154,T153))</f>
        <v>684308.05784196907</v>
      </c>
      <c r="T154" s="13">
        <f t="shared" si="39"/>
        <v>43952003.617716879</v>
      </c>
      <c r="U154" s="13">
        <f t="shared" si="40"/>
        <v>1451502.5798743954</v>
      </c>
      <c r="V154" s="13">
        <f t="shared" si="33"/>
        <v>49654475.735912994</v>
      </c>
    </row>
    <row r="155" spans="1:22" x14ac:dyDescent="0.25">
      <c r="A155" s="14">
        <v>154</v>
      </c>
      <c r="B155" s="14" t="s">
        <v>216</v>
      </c>
      <c r="C155" s="15" t="s">
        <v>73</v>
      </c>
      <c r="D155" s="9">
        <f>Параметры!$C$4*Параметры!$C$7*(1+Параметры!$C$8)^INT((A155-Параметры!$C$11-1)/12)</f>
        <v>6647969.108402106</v>
      </c>
      <c r="E155" s="9">
        <f>D155/(1+Параметры!$C$13)</f>
        <v>5539974.2570017548</v>
      </c>
      <c r="F155" s="9">
        <f t="shared" si="34"/>
        <v>1107994.8514003512</v>
      </c>
      <c r="G155" s="9">
        <f>IF(AND(A155&gt;Параметры!$C$11,A155&lt;=Параметры!$C$11+3),Параметры!$C$28,0)</f>
        <v>0</v>
      </c>
      <c r="H155" s="9">
        <f t="shared" si="35"/>
        <v>1107994.8514003512</v>
      </c>
      <c r="I155" s="9">
        <f>E155*Параметры!$C$16</f>
        <v>830996.13855026325</v>
      </c>
      <c r="J155" s="9">
        <f>Параметры!$C$27</f>
        <v>260416.66666666666</v>
      </c>
      <c r="K155" s="9">
        <f>MAX(0,Параметры!$C$20-Параметры!$C$27*MAX(0,A155-Параметры!$C$11-1))*Параметры!$C$15/12</f>
        <v>160894.09722222222</v>
      </c>
      <c r="L155" s="9">
        <f t="shared" si="36"/>
        <v>4287667.3545626029</v>
      </c>
      <c r="M155" s="9">
        <f>T154*Параметры!$C$10/12</f>
        <v>549400.04522146098</v>
      </c>
      <c r="N155" s="9">
        <f t="shared" si="37"/>
        <v>3738267.309341142</v>
      </c>
      <c r="O155" s="9">
        <f>MAX(0,N155*Параметры!$C$14)</f>
        <v>747653.46186822839</v>
      </c>
      <c r="P155" s="9">
        <f t="shared" si="38"/>
        <v>2990613.8474729136</v>
      </c>
      <c r="Q155" s="9">
        <v>0</v>
      </c>
      <c r="R155" s="9">
        <v>0</v>
      </c>
      <c r="S155" s="9">
        <f>MAX(0,MIN(Параметры!$C$26-M155,T154))</f>
        <v>692861.90856499365</v>
      </c>
      <c r="T155" s="9">
        <f t="shared" si="39"/>
        <v>43259141.709151886</v>
      </c>
      <c r="U155" s="9">
        <f t="shared" si="40"/>
        <v>1450173.7541742353</v>
      </c>
      <c r="V155" s="9">
        <f t="shared" si="33"/>
        <v>51104649.490087226</v>
      </c>
    </row>
    <row r="156" spans="1:22" x14ac:dyDescent="0.25">
      <c r="A156" s="11">
        <v>155</v>
      </c>
      <c r="B156" s="11" t="s">
        <v>217</v>
      </c>
      <c r="C156" s="12" t="s">
        <v>73</v>
      </c>
      <c r="D156" s="13">
        <f>Параметры!$C$4*Параметры!$C$7*(1+Параметры!$C$8)^INT((A156-Параметры!$C$11-1)/12)</f>
        <v>7179806.6370742749</v>
      </c>
      <c r="E156" s="13">
        <f>D156/(1+Параметры!$C$13)</f>
        <v>5983172.1975618964</v>
      </c>
      <c r="F156" s="13">
        <f t="shared" si="34"/>
        <v>1196634.4395123785</v>
      </c>
      <c r="G156" s="13">
        <f>IF(AND(A156&gt;Параметры!$C$11,A156&lt;=Параметры!$C$11+3),Параметры!$C$28,0)</f>
        <v>0</v>
      </c>
      <c r="H156" s="13">
        <f t="shared" si="35"/>
        <v>1196634.4395123785</v>
      </c>
      <c r="I156" s="13">
        <f>E156*Параметры!$C$16</f>
        <v>897475.82963428448</v>
      </c>
      <c r="J156" s="13">
        <f>Параметры!$C$27</f>
        <v>260416.66666666666</v>
      </c>
      <c r="K156" s="13">
        <f>MAX(0,Параметры!$C$20-Параметры!$C$27*MAX(0,A156-Параметры!$C$11-1))*Параметры!$C$15/12</f>
        <v>160416.66666666666</v>
      </c>
      <c r="L156" s="13">
        <f t="shared" si="36"/>
        <v>4664863.0345942779</v>
      </c>
      <c r="M156" s="13">
        <f>T155*Параметры!$C$10/12</f>
        <v>540739.27136439853</v>
      </c>
      <c r="N156" s="13">
        <f t="shared" si="37"/>
        <v>4124123.7632298796</v>
      </c>
      <c r="O156" s="13">
        <f>MAX(0,N156*Параметры!$C$14)</f>
        <v>824824.75264597591</v>
      </c>
      <c r="P156" s="13">
        <f t="shared" si="38"/>
        <v>3299299.0105839036</v>
      </c>
      <c r="Q156" s="13">
        <v>0</v>
      </c>
      <c r="R156" s="13">
        <v>0</v>
      </c>
      <c r="S156" s="13">
        <f>MAX(0,MIN(Параметры!$C$26-M156,T155))</f>
        <v>701522.6824220561</v>
      </c>
      <c r="T156" s="13">
        <f t="shared" si="39"/>
        <v>42557619.02672983</v>
      </c>
      <c r="U156" s="13">
        <f t="shared" si="40"/>
        <v>1661558.5553161353</v>
      </c>
      <c r="V156" s="13">
        <f t="shared" si="33"/>
        <v>52766208.045403361</v>
      </c>
    </row>
    <row r="157" spans="1:22" x14ac:dyDescent="0.25">
      <c r="A157" s="14">
        <v>156</v>
      </c>
      <c r="B157" s="14" t="s">
        <v>218</v>
      </c>
      <c r="C157" s="15" t="s">
        <v>73</v>
      </c>
      <c r="D157" s="9">
        <f>Параметры!$C$4*Параметры!$C$7*(1+Параметры!$C$8)^INT((A157-Параметры!$C$11-1)/12)</f>
        <v>7179806.6370742749</v>
      </c>
      <c r="E157" s="9">
        <f>D157/(1+Параметры!$C$13)</f>
        <v>5983172.1975618964</v>
      </c>
      <c r="F157" s="9">
        <f t="shared" si="34"/>
        <v>1196634.4395123785</v>
      </c>
      <c r="G157" s="9">
        <f>IF(AND(A157&gt;Параметры!$C$11,A157&lt;=Параметры!$C$11+3),Параметры!$C$28,0)</f>
        <v>0</v>
      </c>
      <c r="H157" s="9">
        <f t="shared" si="35"/>
        <v>1196634.4395123785</v>
      </c>
      <c r="I157" s="9">
        <f>E157*Параметры!$C$16</f>
        <v>897475.82963428448</v>
      </c>
      <c r="J157" s="9">
        <f>Параметры!$C$27</f>
        <v>260416.66666666666</v>
      </c>
      <c r="K157" s="9">
        <f>MAX(0,Параметры!$C$20-Параметры!$C$27*MAX(0,A157-Параметры!$C$11-1))*Параметры!$C$15/12</f>
        <v>159939.23611111112</v>
      </c>
      <c r="L157" s="9">
        <f t="shared" si="36"/>
        <v>4665340.4651498338</v>
      </c>
      <c r="M157" s="9">
        <f>T156*Параметры!$C$10/12</f>
        <v>531970.23783412285</v>
      </c>
      <c r="N157" s="9">
        <f t="shared" si="37"/>
        <v>4133370.2273157109</v>
      </c>
      <c r="O157" s="9">
        <f>MAX(0,N157*Параметры!$C$14)</f>
        <v>826674.04546314222</v>
      </c>
      <c r="P157" s="9">
        <f t="shared" si="38"/>
        <v>3306696.1818525689</v>
      </c>
      <c r="Q157" s="9">
        <v>0</v>
      </c>
      <c r="R157" s="9">
        <v>0</v>
      </c>
      <c r="S157" s="9">
        <f>MAX(0,MIN(Параметры!$C$26-M157,T156))</f>
        <v>710291.71595233178</v>
      </c>
      <c r="T157" s="9">
        <f t="shared" si="39"/>
        <v>41847327.3107775</v>
      </c>
      <c r="U157" s="9">
        <f t="shared" si="40"/>
        <v>1660186.6930545252</v>
      </c>
      <c r="V157" s="9">
        <f t="shared" si="33"/>
        <v>54426394.738457888</v>
      </c>
    </row>
    <row r="158" spans="1:22" x14ac:dyDescent="0.25">
      <c r="A158" s="11">
        <v>157</v>
      </c>
      <c r="B158" s="11" t="s">
        <v>219</v>
      </c>
      <c r="C158" s="12" t="s">
        <v>73</v>
      </c>
      <c r="D158" s="13">
        <f>Параметры!$C$4*Параметры!$C$7*(1+Параметры!$C$8)^INT((A158-Параметры!$C$11-1)/12)</f>
        <v>7179806.6370742749</v>
      </c>
      <c r="E158" s="13">
        <f>D158/(1+Параметры!$C$13)</f>
        <v>5983172.1975618964</v>
      </c>
      <c r="F158" s="13">
        <f t="shared" si="34"/>
        <v>1196634.4395123785</v>
      </c>
      <c r="G158" s="13">
        <f>IF(AND(A158&gt;Параметры!$C$11,A158&lt;=Параметры!$C$11+3),Параметры!$C$28,0)</f>
        <v>0</v>
      </c>
      <c r="H158" s="13">
        <f t="shared" si="35"/>
        <v>1196634.4395123785</v>
      </c>
      <c r="I158" s="13">
        <f>E158*Параметры!$C$16</f>
        <v>897475.82963428448</v>
      </c>
      <c r="J158" s="13">
        <f>Параметры!$C$27</f>
        <v>260416.66666666666</v>
      </c>
      <c r="K158" s="13">
        <f>MAX(0,Параметры!$C$20-Параметры!$C$27*MAX(0,A158-Параметры!$C$11-1))*Параметры!$C$15/12</f>
        <v>159461.80555555556</v>
      </c>
      <c r="L158" s="13">
        <f t="shared" si="36"/>
        <v>4665817.8957053889</v>
      </c>
      <c r="M158" s="13">
        <f>T157*Параметры!$C$10/12</f>
        <v>523091.59138471872</v>
      </c>
      <c r="N158" s="13">
        <f t="shared" si="37"/>
        <v>4142726.3043206702</v>
      </c>
      <c r="O158" s="13">
        <f>MAX(0,N158*Параметры!$C$14)</f>
        <v>828545.26086413406</v>
      </c>
      <c r="P158" s="13">
        <f t="shared" si="38"/>
        <v>3314181.0434565363</v>
      </c>
      <c r="Q158" s="13">
        <v>0</v>
      </c>
      <c r="R158" s="13">
        <v>0</v>
      </c>
      <c r="S158" s="13">
        <f>MAX(0,MIN(Параметры!$C$26-M158,T157))</f>
        <v>719170.36240173597</v>
      </c>
      <c r="T158" s="13">
        <f t="shared" si="39"/>
        <v>41128156.948375762</v>
      </c>
      <c r="U158" s="13">
        <f t="shared" si="40"/>
        <v>1658792.9082090883</v>
      </c>
      <c r="V158" s="13">
        <f t="shared" si="33"/>
        <v>56085187.646666974</v>
      </c>
    </row>
    <row r="159" spans="1:22" x14ac:dyDescent="0.25">
      <c r="A159" s="14">
        <v>158</v>
      </c>
      <c r="B159" s="14" t="s">
        <v>220</v>
      </c>
      <c r="C159" s="15" t="s">
        <v>73</v>
      </c>
      <c r="D159" s="9">
        <f>Параметры!$C$4*Параметры!$C$7*(1+Параметры!$C$8)^INT((A159-Параметры!$C$11-1)/12)</f>
        <v>7179806.6370742749</v>
      </c>
      <c r="E159" s="9">
        <f>D159/(1+Параметры!$C$13)</f>
        <v>5983172.1975618964</v>
      </c>
      <c r="F159" s="9">
        <f t="shared" si="34"/>
        <v>1196634.4395123785</v>
      </c>
      <c r="G159" s="9">
        <f>IF(AND(A159&gt;Параметры!$C$11,A159&lt;=Параметры!$C$11+3),Параметры!$C$28,0)</f>
        <v>0</v>
      </c>
      <c r="H159" s="9">
        <f t="shared" si="35"/>
        <v>1196634.4395123785</v>
      </c>
      <c r="I159" s="9">
        <f>E159*Параметры!$C$16</f>
        <v>897475.82963428448</v>
      </c>
      <c r="J159" s="9">
        <f>Параметры!$C$27</f>
        <v>260416.66666666666</v>
      </c>
      <c r="K159" s="9">
        <f>MAX(0,Параметры!$C$20-Параметры!$C$27*MAX(0,A159-Параметры!$C$11-1))*Параметры!$C$15/12</f>
        <v>158984.375</v>
      </c>
      <c r="L159" s="9">
        <f t="shared" si="36"/>
        <v>4666295.3262609448</v>
      </c>
      <c r="M159" s="9">
        <f>T158*Параметры!$C$10/12</f>
        <v>514101.96185469697</v>
      </c>
      <c r="N159" s="9">
        <f t="shared" si="37"/>
        <v>4152193.3644062476</v>
      </c>
      <c r="O159" s="9">
        <f>MAX(0,N159*Параметры!$C$14)</f>
        <v>830438.67288124957</v>
      </c>
      <c r="P159" s="9">
        <f t="shared" si="38"/>
        <v>3321754.6915249983</v>
      </c>
      <c r="Q159" s="9">
        <v>0</v>
      </c>
      <c r="R159" s="9">
        <v>0</v>
      </c>
      <c r="S159" s="9">
        <f>MAX(0,MIN(Параметры!$C$26-M159,T158))</f>
        <v>728159.99193175766</v>
      </c>
      <c r="T159" s="9">
        <f t="shared" si="39"/>
        <v>40399996.956444003</v>
      </c>
      <c r="U159" s="9">
        <f t="shared" si="40"/>
        <v>1657376.9267475288</v>
      </c>
      <c r="V159" s="9">
        <f t="shared" si="33"/>
        <v>57742564.573414505</v>
      </c>
    </row>
    <row r="160" spans="1:22" x14ac:dyDescent="0.25">
      <c r="A160" s="11">
        <v>159</v>
      </c>
      <c r="B160" s="11" t="s">
        <v>221</v>
      </c>
      <c r="C160" s="12" t="s">
        <v>73</v>
      </c>
      <c r="D160" s="13">
        <f>Параметры!$C$4*Параметры!$C$7*(1+Параметры!$C$8)^INT((A160-Параметры!$C$11-1)/12)</f>
        <v>7179806.6370742749</v>
      </c>
      <c r="E160" s="13">
        <f>D160/(1+Параметры!$C$13)</f>
        <v>5983172.1975618964</v>
      </c>
      <c r="F160" s="13">
        <f t="shared" si="34"/>
        <v>1196634.4395123785</v>
      </c>
      <c r="G160" s="13">
        <f>IF(AND(A160&gt;Параметры!$C$11,A160&lt;=Параметры!$C$11+3),Параметры!$C$28,0)</f>
        <v>0</v>
      </c>
      <c r="H160" s="13">
        <f t="shared" si="35"/>
        <v>1196634.4395123785</v>
      </c>
      <c r="I160" s="13">
        <f>E160*Параметры!$C$16</f>
        <v>897475.82963428448</v>
      </c>
      <c r="J160" s="13">
        <f>Параметры!$C$27</f>
        <v>260416.66666666666</v>
      </c>
      <c r="K160" s="13">
        <f>MAX(0,Параметры!$C$20-Параметры!$C$27*MAX(0,A160-Параметры!$C$11-1))*Параметры!$C$15/12</f>
        <v>158506.94444444447</v>
      </c>
      <c r="L160" s="13">
        <f t="shared" si="36"/>
        <v>4666772.7568165008</v>
      </c>
      <c r="M160" s="13">
        <f>T159*Параметры!$C$10/12</f>
        <v>504999.96195555007</v>
      </c>
      <c r="N160" s="13">
        <f t="shared" si="37"/>
        <v>4161772.7948609507</v>
      </c>
      <c r="O160" s="13">
        <f>MAX(0,N160*Параметры!$C$14)</f>
        <v>832354.55897219013</v>
      </c>
      <c r="P160" s="13">
        <f t="shared" si="38"/>
        <v>3329418.2358887605</v>
      </c>
      <c r="Q160" s="13">
        <v>0</v>
      </c>
      <c r="R160" s="13">
        <v>0</v>
      </c>
      <c r="S160" s="13">
        <f>MAX(0,MIN(Параметры!$C$26-M160,T159))</f>
        <v>737261.9918309045</v>
      </c>
      <c r="T160" s="13">
        <f t="shared" si="39"/>
        <v>39662734.964613095</v>
      </c>
      <c r="U160" s="13">
        <f t="shared" si="40"/>
        <v>1655938.471212144</v>
      </c>
      <c r="V160" s="13">
        <f t="shared" si="33"/>
        <v>59398503.044626646</v>
      </c>
    </row>
    <row r="161" spans="1:22" x14ac:dyDescent="0.25">
      <c r="A161" s="14">
        <v>160</v>
      </c>
      <c r="B161" s="14" t="s">
        <v>222</v>
      </c>
      <c r="C161" s="15" t="s">
        <v>73</v>
      </c>
      <c r="D161" s="9">
        <f>Параметры!$C$4*Параметры!$C$7*(1+Параметры!$C$8)^INT((A161-Параметры!$C$11-1)/12)</f>
        <v>7179806.6370742749</v>
      </c>
      <c r="E161" s="9">
        <f>D161/(1+Параметры!$C$13)</f>
        <v>5983172.1975618964</v>
      </c>
      <c r="F161" s="9">
        <f t="shared" si="34"/>
        <v>1196634.4395123785</v>
      </c>
      <c r="G161" s="9">
        <f>IF(AND(A161&gt;Параметры!$C$11,A161&lt;=Параметры!$C$11+3),Параметры!$C$28,0)</f>
        <v>0</v>
      </c>
      <c r="H161" s="9">
        <f t="shared" si="35"/>
        <v>1196634.4395123785</v>
      </c>
      <c r="I161" s="9">
        <f>E161*Параметры!$C$16</f>
        <v>897475.82963428448</v>
      </c>
      <c r="J161" s="9">
        <f>Параметры!$C$27</f>
        <v>260416.66666666666</v>
      </c>
      <c r="K161" s="9">
        <f>MAX(0,Параметры!$C$20-Параметры!$C$27*MAX(0,A161-Параметры!$C$11-1))*Параметры!$C$15/12</f>
        <v>158029.51388888891</v>
      </c>
      <c r="L161" s="9">
        <f t="shared" si="36"/>
        <v>4667250.1873720558</v>
      </c>
      <c r="M161" s="9">
        <f>T160*Параметры!$C$10/12</f>
        <v>495784.18705766369</v>
      </c>
      <c r="N161" s="9">
        <f t="shared" si="37"/>
        <v>4171466.0003143921</v>
      </c>
      <c r="O161" s="9">
        <f>MAX(0,N161*Параметры!$C$14)</f>
        <v>834293.20006287843</v>
      </c>
      <c r="P161" s="9">
        <f t="shared" si="38"/>
        <v>3337172.8002515137</v>
      </c>
      <c r="Q161" s="9">
        <v>0</v>
      </c>
      <c r="R161" s="9">
        <v>0</v>
      </c>
      <c r="S161" s="9">
        <f>MAX(0,MIN(Параметры!$C$26-M161,T160))</f>
        <v>746477.76672879094</v>
      </c>
      <c r="T161" s="9">
        <f t="shared" si="39"/>
        <v>38916257.197884306</v>
      </c>
      <c r="U161" s="9">
        <f t="shared" si="40"/>
        <v>1654477.2606770108</v>
      </c>
      <c r="V161" s="9">
        <f t="shared" si="33"/>
        <v>61052980.305303656</v>
      </c>
    </row>
    <row r="162" spans="1:22" x14ac:dyDescent="0.25">
      <c r="A162" s="11">
        <v>161</v>
      </c>
      <c r="B162" s="11" t="s">
        <v>223</v>
      </c>
      <c r="C162" s="12" t="s">
        <v>73</v>
      </c>
      <c r="D162" s="13">
        <f>Параметры!$C$4*Параметры!$C$7*(1+Параметры!$C$8)^INT((A162-Параметры!$C$11-1)/12)</f>
        <v>7179806.6370742749</v>
      </c>
      <c r="E162" s="13">
        <f>D162/(1+Параметры!$C$13)</f>
        <v>5983172.1975618964</v>
      </c>
      <c r="F162" s="13">
        <f t="shared" si="34"/>
        <v>1196634.4395123785</v>
      </c>
      <c r="G162" s="13">
        <f>IF(AND(A162&gt;Параметры!$C$11,A162&lt;=Параметры!$C$11+3),Параметры!$C$28,0)</f>
        <v>0</v>
      </c>
      <c r="H162" s="13">
        <f t="shared" si="35"/>
        <v>1196634.4395123785</v>
      </c>
      <c r="I162" s="13">
        <f>E162*Параметры!$C$16</f>
        <v>897475.82963428448</v>
      </c>
      <c r="J162" s="13">
        <f>Параметры!$C$27</f>
        <v>260416.66666666666</v>
      </c>
      <c r="K162" s="13">
        <f>MAX(0,Параметры!$C$20-Параметры!$C$27*MAX(0,A162-Параметры!$C$11-1))*Параметры!$C$15/12</f>
        <v>157552.08333333334</v>
      </c>
      <c r="L162" s="13">
        <f t="shared" si="36"/>
        <v>4667727.6179276118</v>
      </c>
      <c r="M162" s="13">
        <f>T161*Параметры!$C$10/12</f>
        <v>486453.21497355378</v>
      </c>
      <c r="N162" s="13">
        <f t="shared" si="37"/>
        <v>4181274.4029540578</v>
      </c>
      <c r="O162" s="13">
        <f>MAX(0,N162*Параметры!$C$14)</f>
        <v>836254.8805908116</v>
      </c>
      <c r="P162" s="13">
        <f t="shared" si="38"/>
        <v>3345019.5223632464</v>
      </c>
      <c r="Q162" s="13">
        <v>0</v>
      </c>
      <c r="R162" s="13">
        <v>0</v>
      </c>
      <c r="S162" s="13">
        <f>MAX(0,MIN(Параметры!$C$26-M162,T161))</f>
        <v>755808.73881290085</v>
      </c>
      <c r="T162" s="13">
        <f t="shared" si="39"/>
        <v>38160448.459071405</v>
      </c>
      <c r="U162" s="13">
        <f t="shared" si="40"/>
        <v>1652993.0107046338</v>
      </c>
      <c r="V162" s="13">
        <f t="shared" si="33"/>
        <v>62705973.316008292</v>
      </c>
    </row>
    <row r="163" spans="1:22" x14ac:dyDescent="0.25">
      <c r="A163" s="14">
        <v>162</v>
      </c>
      <c r="B163" s="14" t="s">
        <v>224</v>
      </c>
      <c r="C163" s="15" t="s">
        <v>73</v>
      </c>
      <c r="D163" s="9">
        <f>Параметры!$C$4*Параметры!$C$7*(1+Параметры!$C$8)^INT((A163-Параметры!$C$11-1)/12)</f>
        <v>7179806.6370742749</v>
      </c>
      <c r="E163" s="9">
        <f>D163/(1+Параметры!$C$13)</f>
        <v>5983172.1975618964</v>
      </c>
      <c r="F163" s="9">
        <f t="shared" si="34"/>
        <v>1196634.4395123785</v>
      </c>
      <c r="G163" s="9">
        <f>IF(AND(A163&gt;Параметры!$C$11,A163&lt;=Параметры!$C$11+3),Параметры!$C$28,0)</f>
        <v>0</v>
      </c>
      <c r="H163" s="9">
        <f t="shared" si="35"/>
        <v>1196634.4395123785</v>
      </c>
      <c r="I163" s="9">
        <f>E163*Параметры!$C$16</f>
        <v>897475.82963428448</v>
      </c>
      <c r="J163" s="9">
        <f>Параметры!$C$27</f>
        <v>260416.66666666666</v>
      </c>
      <c r="K163" s="9">
        <f>MAX(0,Параметры!$C$20-Параметры!$C$27*MAX(0,A163-Параметры!$C$11-1))*Параметры!$C$15/12</f>
        <v>157074.65277777778</v>
      </c>
      <c r="L163" s="9">
        <f t="shared" si="36"/>
        <v>4668205.0484831668</v>
      </c>
      <c r="M163" s="9">
        <f>T162*Параметры!$C$10/12</f>
        <v>477005.60573839257</v>
      </c>
      <c r="N163" s="9">
        <f t="shared" si="37"/>
        <v>4191199.4427447743</v>
      </c>
      <c r="O163" s="9">
        <f>MAX(0,N163*Параметры!$C$14)</f>
        <v>838239.88854895486</v>
      </c>
      <c r="P163" s="9">
        <f t="shared" si="38"/>
        <v>3352959.5541958194</v>
      </c>
      <c r="Q163" s="9">
        <v>0</v>
      </c>
      <c r="R163" s="9">
        <v>0</v>
      </c>
      <c r="S163" s="9">
        <f>MAX(0,MIN(Параметры!$C$26-M163,T162))</f>
        <v>765256.34804806206</v>
      </c>
      <c r="T163" s="9">
        <f t="shared" si="39"/>
        <v>37395192.111023344</v>
      </c>
      <c r="U163" s="9">
        <f t="shared" si="40"/>
        <v>1651485.4333020453</v>
      </c>
      <c r="V163" s="9">
        <f t="shared" ref="V163:V194" si="41">V162+U163</f>
        <v>64357458.749310337</v>
      </c>
    </row>
    <row r="164" spans="1:22" x14ac:dyDescent="0.25">
      <c r="A164" s="11">
        <v>163</v>
      </c>
      <c r="B164" s="11" t="s">
        <v>225</v>
      </c>
      <c r="C164" s="12" t="s">
        <v>73</v>
      </c>
      <c r="D164" s="13">
        <f>Параметры!$C$4*Параметры!$C$7*(1+Параметры!$C$8)^INT((A164-Параметры!$C$11-1)/12)</f>
        <v>7179806.6370742749</v>
      </c>
      <c r="E164" s="13">
        <f>D164/(1+Параметры!$C$13)</f>
        <v>5983172.1975618964</v>
      </c>
      <c r="F164" s="13">
        <f t="shared" si="34"/>
        <v>1196634.4395123785</v>
      </c>
      <c r="G164" s="13">
        <f>IF(AND(A164&gt;Параметры!$C$11,A164&lt;=Параметры!$C$11+3),Параметры!$C$28,0)</f>
        <v>0</v>
      </c>
      <c r="H164" s="13">
        <f t="shared" si="35"/>
        <v>1196634.4395123785</v>
      </c>
      <c r="I164" s="13">
        <f>E164*Параметры!$C$16</f>
        <v>897475.82963428448</v>
      </c>
      <c r="J164" s="13">
        <f>Параметры!$C$27</f>
        <v>260416.66666666666</v>
      </c>
      <c r="K164" s="13">
        <f>MAX(0,Параметры!$C$20-Параметры!$C$27*MAX(0,A164-Параметры!$C$11-1))*Параметры!$C$15/12</f>
        <v>156597.22222222222</v>
      </c>
      <c r="L164" s="13">
        <f t="shared" si="36"/>
        <v>4668682.4790387228</v>
      </c>
      <c r="M164" s="13">
        <f>T163*Параметры!$C$10/12</f>
        <v>467439.90138779179</v>
      </c>
      <c r="N164" s="13">
        <f t="shared" si="37"/>
        <v>4201242.5776509307</v>
      </c>
      <c r="O164" s="13">
        <f>MAX(0,N164*Параметры!$C$14)</f>
        <v>840248.51553018624</v>
      </c>
      <c r="P164" s="13">
        <f t="shared" si="38"/>
        <v>3360994.0621207445</v>
      </c>
      <c r="Q164" s="13">
        <v>0</v>
      </c>
      <c r="R164" s="13">
        <v>0</v>
      </c>
      <c r="S164" s="13">
        <f>MAX(0,MIN(Параметры!$C$26-M164,T163))</f>
        <v>774822.05239866278</v>
      </c>
      <c r="T164" s="13">
        <f t="shared" si="39"/>
        <v>36620370.058624685</v>
      </c>
      <c r="U164" s="13">
        <f t="shared" si="40"/>
        <v>1649954.2368763695</v>
      </c>
      <c r="V164" s="13">
        <f t="shared" si="41"/>
        <v>66007412.986186706</v>
      </c>
    </row>
    <row r="165" spans="1:22" x14ac:dyDescent="0.25">
      <c r="A165" s="14">
        <v>164</v>
      </c>
      <c r="B165" s="14" t="s">
        <v>226</v>
      </c>
      <c r="C165" s="15" t="s">
        <v>73</v>
      </c>
      <c r="D165" s="9">
        <f>Параметры!$C$4*Параметры!$C$7*(1+Параметры!$C$8)^INT((A165-Параметры!$C$11-1)/12)</f>
        <v>7179806.6370742749</v>
      </c>
      <c r="E165" s="9">
        <f>D165/(1+Параметры!$C$13)</f>
        <v>5983172.1975618964</v>
      </c>
      <c r="F165" s="9">
        <f t="shared" si="34"/>
        <v>1196634.4395123785</v>
      </c>
      <c r="G165" s="9">
        <f>IF(AND(A165&gt;Параметры!$C$11,A165&lt;=Параметры!$C$11+3),Параметры!$C$28,0)</f>
        <v>0</v>
      </c>
      <c r="H165" s="9">
        <f t="shared" si="35"/>
        <v>1196634.4395123785</v>
      </c>
      <c r="I165" s="9">
        <f>E165*Параметры!$C$16</f>
        <v>897475.82963428448</v>
      </c>
      <c r="J165" s="9">
        <f>Параметры!$C$27</f>
        <v>260416.66666666666</v>
      </c>
      <c r="K165" s="9">
        <f>MAX(0,Параметры!$C$20-Параметры!$C$27*MAX(0,A165-Параметры!$C$11-1))*Параметры!$C$15/12</f>
        <v>156119.79166666666</v>
      </c>
      <c r="L165" s="9">
        <f t="shared" si="36"/>
        <v>4669159.9095942779</v>
      </c>
      <c r="M165" s="9">
        <f>T164*Параметры!$C$10/12</f>
        <v>457754.62573280855</v>
      </c>
      <c r="N165" s="9">
        <f t="shared" si="37"/>
        <v>4211405.2838614695</v>
      </c>
      <c r="O165" s="9">
        <f>MAX(0,N165*Параметры!$C$14)</f>
        <v>842281.05677229399</v>
      </c>
      <c r="P165" s="9">
        <f t="shared" si="38"/>
        <v>3369124.2270891755</v>
      </c>
      <c r="Q165" s="9">
        <v>0</v>
      </c>
      <c r="R165" s="9">
        <v>0</v>
      </c>
      <c r="S165" s="9">
        <f>MAX(0,MIN(Параметры!$C$26-M165,T164))</f>
        <v>784507.32805364602</v>
      </c>
      <c r="T165" s="9">
        <f t="shared" si="39"/>
        <v>35835862.730571039</v>
      </c>
      <c r="U165" s="9">
        <f t="shared" si="40"/>
        <v>1648399.1261898177</v>
      </c>
      <c r="V165" s="9">
        <f t="shared" si="41"/>
        <v>67655812.112376526</v>
      </c>
    </row>
    <row r="166" spans="1:22" x14ac:dyDescent="0.25">
      <c r="A166" s="11">
        <v>165</v>
      </c>
      <c r="B166" s="11" t="s">
        <v>227</v>
      </c>
      <c r="C166" s="12" t="s">
        <v>73</v>
      </c>
      <c r="D166" s="13">
        <f>Параметры!$C$4*Параметры!$C$7*(1+Параметры!$C$8)^INT((A166-Параметры!$C$11-1)/12)</f>
        <v>7179806.6370742749</v>
      </c>
      <c r="E166" s="13">
        <f>D166/(1+Параметры!$C$13)</f>
        <v>5983172.1975618964</v>
      </c>
      <c r="F166" s="13">
        <f t="shared" si="34"/>
        <v>1196634.4395123785</v>
      </c>
      <c r="G166" s="13">
        <f>IF(AND(A166&gt;Параметры!$C$11,A166&lt;=Параметры!$C$11+3),Параметры!$C$28,0)</f>
        <v>0</v>
      </c>
      <c r="H166" s="13">
        <f t="shared" si="35"/>
        <v>1196634.4395123785</v>
      </c>
      <c r="I166" s="13">
        <f>E166*Параметры!$C$16</f>
        <v>897475.82963428448</v>
      </c>
      <c r="J166" s="13">
        <f>Параметры!$C$27</f>
        <v>260416.66666666666</v>
      </c>
      <c r="K166" s="13">
        <f>MAX(0,Параметры!$C$20-Параметры!$C$27*MAX(0,A166-Параметры!$C$11-1))*Параметры!$C$15/12</f>
        <v>155642.36111111112</v>
      </c>
      <c r="L166" s="13">
        <f t="shared" si="36"/>
        <v>4669637.3401498338</v>
      </c>
      <c r="M166" s="13">
        <f>T165*Параметры!$C$10/12</f>
        <v>447948.28413213795</v>
      </c>
      <c r="N166" s="13">
        <f t="shared" si="37"/>
        <v>4221689.0560176959</v>
      </c>
      <c r="O166" s="13">
        <f>MAX(0,N166*Параметры!$C$14)</f>
        <v>844337.81120353926</v>
      </c>
      <c r="P166" s="13">
        <f t="shared" si="38"/>
        <v>3377351.2448141566</v>
      </c>
      <c r="Q166" s="13">
        <v>0</v>
      </c>
      <c r="R166" s="13">
        <v>0</v>
      </c>
      <c r="S166" s="13">
        <f>MAX(0,MIN(Параметры!$C$26-M166,T165))</f>
        <v>794313.66965431673</v>
      </c>
      <c r="T166" s="13">
        <f t="shared" si="39"/>
        <v>35041549.060916722</v>
      </c>
      <c r="U166" s="13">
        <f t="shared" si="40"/>
        <v>1646819.8023141278</v>
      </c>
      <c r="V166" s="13">
        <f t="shared" si="41"/>
        <v>69302631.914690658</v>
      </c>
    </row>
    <row r="167" spans="1:22" x14ac:dyDescent="0.25">
      <c r="A167" s="14">
        <v>166</v>
      </c>
      <c r="B167" s="14" t="s">
        <v>228</v>
      </c>
      <c r="C167" s="15" t="s">
        <v>73</v>
      </c>
      <c r="D167" s="9">
        <f>Параметры!$C$4*Параметры!$C$7*(1+Параметры!$C$8)^INT((A167-Параметры!$C$11-1)/12)</f>
        <v>7179806.6370742749</v>
      </c>
      <c r="E167" s="9">
        <f>D167/(1+Параметры!$C$13)</f>
        <v>5983172.1975618964</v>
      </c>
      <c r="F167" s="9">
        <f t="shared" si="34"/>
        <v>1196634.4395123785</v>
      </c>
      <c r="G167" s="9">
        <f>IF(AND(A167&gt;Параметры!$C$11,A167&lt;=Параметры!$C$11+3),Параметры!$C$28,0)</f>
        <v>0</v>
      </c>
      <c r="H167" s="9">
        <f t="shared" si="35"/>
        <v>1196634.4395123785</v>
      </c>
      <c r="I167" s="9">
        <f>E167*Параметры!$C$16</f>
        <v>897475.82963428448</v>
      </c>
      <c r="J167" s="9">
        <f>Параметры!$C$27</f>
        <v>260416.66666666666</v>
      </c>
      <c r="K167" s="9">
        <f>MAX(0,Параметры!$C$20-Параметры!$C$27*MAX(0,A167-Параметры!$C$11-1))*Параметры!$C$15/12</f>
        <v>155164.93055555556</v>
      </c>
      <c r="L167" s="9">
        <f t="shared" si="36"/>
        <v>4670114.7707053889</v>
      </c>
      <c r="M167" s="9">
        <f>T166*Параметры!$C$10/12</f>
        <v>438019.36326145899</v>
      </c>
      <c r="N167" s="9">
        <f t="shared" si="37"/>
        <v>4232095.4074439295</v>
      </c>
      <c r="O167" s="9">
        <f>MAX(0,N167*Параметры!$C$14)</f>
        <v>846419.08148878592</v>
      </c>
      <c r="P167" s="9">
        <f t="shared" si="38"/>
        <v>3385676.3259551437</v>
      </c>
      <c r="Q167" s="9">
        <v>0</v>
      </c>
      <c r="R167" s="9">
        <v>0</v>
      </c>
      <c r="S167" s="9">
        <f>MAX(0,MIN(Параметры!$C$26-M167,T166))</f>
        <v>804242.5905249957</v>
      </c>
      <c r="T167" s="9">
        <f t="shared" si="39"/>
        <v>34237306.470391728</v>
      </c>
      <c r="U167" s="9">
        <f t="shared" si="40"/>
        <v>1645215.9625844359</v>
      </c>
      <c r="V167" s="9">
        <f t="shared" si="41"/>
        <v>70947847.877275094</v>
      </c>
    </row>
    <row r="168" spans="1:22" x14ac:dyDescent="0.25">
      <c r="A168" s="11">
        <v>167</v>
      </c>
      <c r="B168" s="11" t="s">
        <v>229</v>
      </c>
      <c r="C168" s="12" t="s">
        <v>73</v>
      </c>
      <c r="D168" s="13">
        <f>Параметры!$C$4*Параметры!$C$7*(1+Параметры!$C$8)^INT((A168-Параметры!$C$11-1)/12)</f>
        <v>7754191.1680402169</v>
      </c>
      <c r="E168" s="13">
        <f>D168/(1+Параметры!$C$13)</f>
        <v>6461825.9733668473</v>
      </c>
      <c r="F168" s="13">
        <f t="shared" si="34"/>
        <v>1292365.1946733696</v>
      </c>
      <c r="G168" s="13">
        <f>IF(AND(A168&gt;Параметры!$C$11,A168&lt;=Параметры!$C$11+3),Параметры!$C$28,0)</f>
        <v>0</v>
      </c>
      <c r="H168" s="13">
        <f t="shared" si="35"/>
        <v>1292365.1946733696</v>
      </c>
      <c r="I168" s="13">
        <f>E168*Параметры!$C$16</f>
        <v>969273.896005027</v>
      </c>
      <c r="J168" s="13">
        <f>Параметры!$C$27</f>
        <v>260416.66666666666</v>
      </c>
      <c r="K168" s="13">
        <f>MAX(0,Параметры!$C$20-Параметры!$C$27*MAX(0,A168-Параметры!$C$11-1))*Параметры!$C$15/12</f>
        <v>154687.5</v>
      </c>
      <c r="L168" s="13">
        <f t="shared" si="36"/>
        <v>5077447.9106951533</v>
      </c>
      <c r="M168" s="13">
        <f>T167*Параметры!$C$10/12</f>
        <v>427966.33087989659</v>
      </c>
      <c r="N168" s="13">
        <f t="shared" si="37"/>
        <v>4649481.5798152564</v>
      </c>
      <c r="O168" s="13">
        <f>MAX(0,N168*Параметры!$C$14)</f>
        <v>929896.31596305128</v>
      </c>
      <c r="P168" s="13">
        <f t="shared" si="38"/>
        <v>3719585.2638522051</v>
      </c>
      <c r="Q168" s="13">
        <v>0</v>
      </c>
      <c r="R168" s="13">
        <v>0</v>
      </c>
      <c r="S168" s="13">
        <f>MAX(0,MIN(Параметры!$C$26-M168,T167))</f>
        <v>814295.62290655798</v>
      </c>
      <c r="T168" s="13">
        <f t="shared" si="39"/>
        <v>33423010.84748517</v>
      </c>
      <c r="U168" s="13">
        <f t="shared" si="40"/>
        <v>1873341.1129389443</v>
      </c>
      <c r="V168" s="13">
        <f t="shared" si="41"/>
        <v>72821188.990214035</v>
      </c>
    </row>
    <row r="169" spans="1:22" x14ac:dyDescent="0.25">
      <c r="A169" s="14">
        <v>168</v>
      </c>
      <c r="B169" s="14" t="s">
        <v>230</v>
      </c>
      <c r="C169" s="15" t="s">
        <v>73</v>
      </c>
      <c r="D169" s="9">
        <f>Параметры!$C$4*Параметры!$C$7*(1+Параметры!$C$8)^INT((A169-Параметры!$C$11-1)/12)</f>
        <v>7754191.1680402169</v>
      </c>
      <c r="E169" s="9">
        <f>D169/(1+Параметры!$C$13)</f>
        <v>6461825.9733668473</v>
      </c>
      <c r="F169" s="9">
        <f t="shared" si="34"/>
        <v>1292365.1946733696</v>
      </c>
      <c r="G169" s="9">
        <f>IF(AND(A169&gt;Параметры!$C$11,A169&lt;=Параметры!$C$11+3),Параметры!$C$28,0)</f>
        <v>0</v>
      </c>
      <c r="H169" s="9">
        <f t="shared" si="35"/>
        <v>1292365.1946733696</v>
      </c>
      <c r="I169" s="9">
        <f>E169*Параметры!$C$16</f>
        <v>969273.896005027</v>
      </c>
      <c r="J169" s="9">
        <f>Параметры!$C$27</f>
        <v>260416.66666666666</v>
      </c>
      <c r="K169" s="9">
        <f>MAX(0,Параметры!$C$20-Параметры!$C$27*MAX(0,A169-Параметры!$C$11-1))*Параметры!$C$15/12</f>
        <v>154210.06944444447</v>
      </c>
      <c r="L169" s="9">
        <f t="shared" si="36"/>
        <v>5077925.3412507093</v>
      </c>
      <c r="M169" s="9">
        <f>T168*Параметры!$C$10/12</f>
        <v>417787.63559356466</v>
      </c>
      <c r="N169" s="9">
        <f t="shared" si="37"/>
        <v>4660137.705657145</v>
      </c>
      <c r="O169" s="9">
        <f>MAX(0,N169*Параметры!$C$14)</f>
        <v>932027.54113142902</v>
      </c>
      <c r="P169" s="9">
        <f t="shared" si="38"/>
        <v>3728110.1645257161</v>
      </c>
      <c r="Q169" s="9">
        <v>0</v>
      </c>
      <c r="R169" s="9">
        <v>0</v>
      </c>
      <c r="S169" s="9">
        <f>MAX(0,MIN(Параметры!$C$26-M169,T168))</f>
        <v>824474.31819288991</v>
      </c>
      <c r="T169" s="9">
        <f t="shared" si="39"/>
        <v>32598536.529292278</v>
      </c>
      <c r="U169" s="9">
        <f t="shared" si="40"/>
        <v>1871687.3183261231</v>
      </c>
      <c r="V169" s="9">
        <f t="shared" si="41"/>
        <v>74692876.308540165</v>
      </c>
    </row>
    <row r="170" spans="1:22" x14ac:dyDescent="0.25">
      <c r="A170" s="11">
        <v>169</v>
      </c>
      <c r="B170" s="11" t="s">
        <v>231</v>
      </c>
      <c r="C170" s="12" t="s">
        <v>73</v>
      </c>
      <c r="D170" s="13">
        <f>Параметры!$C$4*Параметры!$C$7*(1+Параметры!$C$8)^INT((A170-Параметры!$C$11-1)/12)</f>
        <v>7754191.1680402169</v>
      </c>
      <c r="E170" s="13">
        <f>D170/(1+Параметры!$C$13)</f>
        <v>6461825.9733668473</v>
      </c>
      <c r="F170" s="13">
        <f t="shared" si="34"/>
        <v>1292365.1946733696</v>
      </c>
      <c r="G170" s="13">
        <f>IF(AND(A170&gt;Параметры!$C$11,A170&lt;=Параметры!$C$11+3),Параметры!$C$28,0)</f>
        <v>0</v>
      </c>
      <c r="H170" s="13">
        <f t="shared" si="35"/>
        <v>1292365.1946733696</v>
      </c>
      <c r="I170" s="13">
        <f>E170*Параметры!$C$16</f>
        <v>969273.896005027</v>
      </c>
      <c r="J170" s="13">
        <f>Параметры!$C$27</f>
        <v>260416.66666666666</v>
      </c>
      <c r="K170" s="13">
        <f>MAX(0,Параметры!$C$20-Параметры!$C$27*MAX(0,A170-Параметры!$C$11-1))*Параметры!$C$15/12</f>
        <v>153732.63888888891</v>
      </c>
      <c r="L170" s="13">
        <f t="shared" si="36"/>
        <v>5078402.7718062643</v>
      </c>
      <c r="M170" s="13">
        <f>T169*Параметры!$C$10/12</f>
        <v>407481.70661615347</v>
      </c>
      <c r="N170" s="13">
        <f t="shared" si="37"/>
        <v>4670921.0651901104</v>
      </c>
      <c r="O170" s="13">
        <f>MAX(0,N170*Параметры!$C$14)</f>
        <v>934184.21303802216</v>
      </c>
      <c r="P170" s="13">
        <f t="shared" si="38"/>
        <v>3736736.8521520882</v>
      </c>
      <c r="Q170" s="13">
        <v>0</v>
      </c>
      <c r="R170" s="13">
        <v>0</v>
      </c>
      <c r="S170" s="13">
        <f>MAX(0,MIN(Параметры!$C$26-M170,T169))</f>
        <v>834780.24717030115</v>
      </c>
      <c r="T170" s="13">
        <f t="shared" si="39"/>
        <v>31763756.282121979</v>
      </c>
      <c r="U170" s="13">
        <f t="shared" si="40"/>
        <v>1870008.0769750839</v>
      </c>
      <c r="V170" s="13">
        <f t="shared" si="41"/>
        <v>76562884.385515243</v>
      </c>
    </row>
    <row r="171" spans="1:22" x14ac:dyDescent="0.25">
      <c r="A171" s="14">
        <v>170</v>
      </c>
      <c r="B171" s="14" t="s">
        <v>232</v>
      </c>
      <c r="C171" s="15" t="s">
        <v>73</v>
      </c>
      <c r="D171" s="9">
        <f>Параметры!$C$4*Параметры!$C$7*(1+Параметры!$C$8)^INT((A171-Параметры!$C$11-1)/12)</f>
        <v>7754191.1680402169</v>
      </c>
      <c r="E171" s="9">
        <f>D171/(1+Параметры!$C$13)</f>
        <v>6461825.9733668473</v>
      </c>
      <c r="F171" s="9">
        <f t="shared" si="34"/>
        <v>1292365.1946733696</v>
      </c>
      <c r="G171" s="9">
        <f>IF(AND(A171&gt;Параметры!$C$11,A171&lt;=Параметры!$C$11+3),Параметры!$C$28,0)</f>
        <v>0</v>
      </c>
      <c r="H171" s="9">
        <f t="shared" si="35"/>
        <v>1292365.1946733696</v>
      </c>
      <c r="I171" s="9">
        <f>E171*Параметры!$C$16</f>
        <v>969273.896005027</v>
      </c>
      <c r="J171" s="9">
        <f>Параметры!$C$27</f>
        <v>260416.66666666666</v>
      </c>
      <c r="K171" s="9">
        <f>MAX(0,Параметры!$C$20-Параметры!$C$27*MAX(0,A171-Параметры!$C$11-1))*Параметры!$C$15/12</f>
        <v>153255.20833333334</v>
      </c>
      <c r="L171" s="9">
        <f t="shared" si="36"/>
        <v>5078880.2023618203</v>
      </c>
      <c r="M171" s="9">
        <f>T170*Параметры!$C$10/12</f>
        <v>397046.95352652477</v>
      </c>
      <c r="N171" s="9">
        <f t="shared" si="37"/>
        <v>4681833.2488352954</v>
      </c>
      <c r="O171" s="9">
        <f>MAX(0,N171*Параметры!$C$14)</f>
        <v>936366.64976705913</v>
      </c>
      <c r="P171" s="9">
        <f t="shared" si="38"/>
        <v>3745466.5990682365</v>
      </c>
      <c r="Q171" s="9">
        <v>0</v>
      </c>
      <c r="R171" s="9">
        <v>0</v>
      </c>
      <c r="S171" s="9">
        <f>MAX(0,MIN(Параметры!$C$26-M171,T170))</f>
        <v>845215.0002599298</v>
      </c>
      <c r="T171" s="9">
        <f t="shared" si="39"/>
        <v>30918541.28186205</v>
      </c>
      <c r="U171" s="9">
        <f t="shared" si="40"/>
        <v>1868303.0708016036</v>
      </c>
      <c r="V171" s="9">
        <f t="shared" si="41"/>
        <v>78431187.456316844</v>
      </c>
    </row>
    <row r="172" spans="1:22" x14ac:dyDescent="0.25">
      <c r="A172" s="11">
        <v>171</v>
      </c>
      <c r="B172" s="11" t="s">
        <v>233</v>
      </c>
      <c r="C172" s="12" t="s">
        <v>73</v>
      </c>
      <c r="D172" s="13">
        <f>Параметры!$C$4*Параметры!$C$7*(1+Параметры!$C$8)^INT((A172-Параметры!$C$11-1)/12)</f>
        <v>7754191.1680402169</v>
      </c>
      <c r="E172" s="13">
        <f>D172/(1+Параметры!$C$13)</f>
        <v>6461825.9733668473</v>
      </c>
      <c r="F172" s="13">
        <f t="shared" ref="F172:F203" si="42">D172-E172</f>
        <v>1292365.1946733696</v>
      </c>
      <c r="G172" s="13">
        <f>IF(AND(A172&gt;Параметры!$C$11,A172&lt;=Параметры!$C$11+3),Параметры!$C$28,0)</f>
        <v>0</v>
      </c>
      <c r="H172" s="13">
        <f t="shared" ref="H172:H203" si="43">F172-G172</f>
        <v>1292365.1946733696</v>
      </c>
      <c r="I172" s="13">
        <f>E172*Параметры!$C$16</f>
        <v>969273.896005027</v>
      </c>
      <c r="J172" s="13">
        <f>Параметры!$C$27</f>
        <v>260416.66666666666</v>
      </c>
      <c r="K172" s="13">
        <f>MAX(0,Параметры!$C$20-Параметры!$C$27*MAX(0,A172-Параметры!$C$11-1))*Параметры!$C$15/12</f>
        <v>152777.77777777778</v>
      </c>
      <c r="L172" s="13">
        <f t="shared" ref="L172:L203" si="44">E172-I172-J172-K172</f>
        <v>5079357.6329173753</v>
      </c>
      <c r="M172" s="13">
        <f>T171*Параметры!$C$10/12</f>
        <v>386481.76602327562</v>
      </c>
      <c r="N172" s="13">
        <f t="shared" ref="N172:N203" si="45">L172-M172</f>
        <v>4692875.8668940999</v>
      </c>
      <c r="O172" s="13">
        <f>MAX(0,N172*Параметры!$C$14)</f>
        <v>938575.17337882007</v>
      </c>
      <c r="P172" s="13">
        <f t="shared" ref="P172:P203" si="46">N172-O172</f>
        <v>3754300.6935152798</v>
      </c>
      <c r="Q172" s="13">
        <v>0</v>
      </c>
      <c r="R172" s="13">
        <v>0</v>
      </c>
      <c r="S172" s="13">
        <f>MAX(0,MIN(Параметры!$C$26-M172,T171))</f>
        <v>855780.18776317895</v>
      </c>
      <c r="T172" s="13">
        <f t="shared" ref="T172:T203" si="47">MAX(0,T171-S172)</f>
        <v>30062761.09409887</v>
      </c>
      <c r="U172" s="13">
        <f t="shared" ref="U172:U201" si="48">P172+J172-S172-H172</f>
        <v>1866571.9777453979</v>
      </c>
      <c r="V172" s="13">
        <f t="shared" si="41"/>
        <v>80297759.434062243</v>
      </c>
    </row>
    <row r="173" spans="1:22" x14ac:dyDescent="0.25">
      <c r="A173" s="14">
        <v>172</v>
      </c>
      <c r="B173" s="14" t="s">
        <v>234</v>
      </c>
      <c r="C173" s="15" t="s">
        <v>73</v>
      </c>
      <c r="D173" s="9">
        <f>Параметры!$C$4*Параметры!$C$7*(1+Параметры!$C$8)^INT((A173-Параметры!$C$11-1)/12)</f>
        <v>7754191.1680402169</v>
      </c>
      <c r="E173" s="9">
        <f>D173/(1+Параметры!$C$13)</f>
        <v>6461825.9733668473</v>
      </c>
      <c r="F173" s="9">
        <f t="shared" si="42"/>
        <v>1292365.1946733696</v>
      </c>
      <c r="G173" s="9">
        <f>IF(AND(A173&gt;Параметры!$C$11,A173&lt;=Параметры!$C$11+3),Параметры!$C$28,0)</f>
        <v>0</v>
      </c>
      <c r="H173" s="9">
        <f t="shared" si="43"/>
        <v>1292365.1946733696</v>
      </c>
      <c r="I173" s="9">
        <f>E173*Параметры!$C$16</f>
        <v>969273.896005027</v>
      </c>
      <c r="J173" s="9">
        <f>Параметры!$C$27</f>
        <v>260416.66666666666</v>
      </c>
      <c r="K173" s="9">
        <f>MAX(0,Параметры!$C$20-Параметры!$C$27*MAX(0,A173-Параметры!$C$11-1))*Параметры!$C$15/12</f>
        <v>152300.34722222222</v>
      </c>
      <c r="L173" s="9">
        <f t="shared" si="44"/>
        <v>5079835.0634729313</v>
      </c>
      <c r="M173" s="9">
        <f>T172*Параметры!$C$10/12</f>
        <v>375784.51367623586</v>
      </c>
      <c r="N173" s="9">
        <f t="shared" si="45"/>
        <v>4704050.5497966958</v>
      </c>
      <c r="O173" s="9">
        <f>MAX(0,N173*Параметры!$C$14)</f>
        <v>940810.10995933926</v>
      </c>
      <c r="P173" s="9">
        <f t="shared" si="46"/>
        <v>3763240.4398373566</v>
      </c>
      <c r="Q173" s="9">
        <v>0</v>
      </c>
      <c r="R173" s="9">
        <v>0</v>
      </c>
      <c r="S173" s="9">
        <f>MAX(0,MIN(Параметры!$C$26-M173,T172))</f>
        <v>866477.44011021871</v>
      </c>
      <c r="T173" s="9">
        <f t="shared" si="47"/>
        <v>29196283.653988652</v>
      </c>
      <c r="U173" s="9">
        <f t="shared" si="48"/>
        <v>1864814.4717204347</v>
      </c>
      <c r="V173" s="9">
        <f t="shared" si="41"/>
        <v>82162573.90578267</v>
      </c>
    </row>
    <row r="174" spans="1:22" x14ac:dyDescent="0.25">
      <c r="A174" s="11">
        <v>173</v>
      </c>
      <c r="B174" s="11" t="s">
        <v>235</v>
      </c>
      <c r="C174" s="12" t="s">
        <v>73</v>
      </c>
      <c r="D174" s="13">
        <f>Параметры!$C$4*Параметры!$C$7*(1+Параметры!$C$8)^INT((A174-Параметры!$C$11-1)/12)</f>
        <v>7754191.1680402169</v>
      </c>
      <c r="E174" s="13">
        <f>D174/(1+Параметры!$C$13)</f>
        <v>6461825.9733668473</v>
      </c>
      <c r="F174" s="13">
        <f t="shared" si="42"/>
        <v>1292365.1946733696</v>
      </c>
      <c r="G174" s="13">
        <f>IF(AND(A174&gt;Параметры!$C$11,A174&lt;=Параметры!$C$11+3),Параметры!$C$28,0)</f>
        <v>0</v>
      </c>
      <c r="H174" s="13">
        <f t="shared" si="43"/>
        <v>1292365.1946733696</v>
      </c>
      <c r="I174" s="13">
        <f>E174*Параметры!$C$16</f>
        <v>969273.896005027</v>
      </c>
      <c r="J174" s="13">
        <f>Параметры!$C$27</f>
        <v>260416.66666666666</v>
      </c>
      <c r="K174" s="13">
        <f>MAX(0,Параметры!$C$20-Параметры!$C$27*MAX(0,A174-Параметры!$C$11-1))*Параметры!$C$15/12</f>
        <v>151822.91666666666</v>
      </c>
      <c r="L174" s="13">
        <f t="shared" si="44"/>
        <v>5080312.4940284863</v>
      </c>
      <c r="M174" s="13">
        <f>T173*Параметры!$C$10/12</f>
        <v>364953.54567485815</v>
      </c>
      <c r="N174" s="13">
        <f t="shared" si="45"/>
        <v>4715358.9483536277</v>
      </c>
      <c r="O174" s="13">
        <f>MAX(0,N174*Параметры!$C$14)</f>
        <v>943071.78967072559</v>
      </c>
      <c r="P174" s="13">
        <f t="shared" si="46"/>
        <v>3772287.1586829023</v>
      </c>
      <c r="Q174" s="13">
        <v>0</v>
      </c>
      <c r="R174" s="13">
        <v>0</v>
      </c>
      <c r="S174" s="13">
        <f>MAX(0,MIN(Параметры!$C$26-M174,T173))</f>
        <v>877308.40811159648</v>
      </c>
      <c r="T174" s="13">
        <f t="shared" si="47"/>
        <v>28318975.245877057</v>
      </c>
      <c r="U174" s="13">
        <f t="shared" si="48"/>
        <v>1863030.2225646027</v>
      </c>
      <c r="V174" s="13">
        <f t="shared" si="41"/>
        <v>84025604.128347278</v>
      </c>
    </row>
    <row r="175" spans="1:22" x14ac:dyDescent="0.25">
      <c r="A175" s="14">
        <v>174</v>
      </c>
      <c r="B175" s="14" t="s">
        <v>236</v>
      </c>
      <c r="C175" s="15" t="s">
        <v>73</v>
      </c>
      <c r="D175" s="9">
        <f>Параметры!$C$4*Параметры!$C$7*(1+Параметры!$C$8)^INT((A175-Параметры!$C$11-1)/12)</f>
        <v>7754191.1680402169</v>
      </c>
      <c r="E175" s="9">
        <f>D175/(1+Параметры!$C$13)</f>
        <v>6461825.9733668473</v>
      </c>
      <c r="F175" s="9">
        <f t="shared" si="42"/>
        <v>1292365.1946733696</v>
      </c>
      <c r="G175" s="9">
        <f>IF(AND(A175&gt;Параметры!$C$11,A175&lt;=Параметры!$C$11+3),Параметры!$C$28,0)</f>
        <v>0</v>
      </c>
      <c r="H175" s="9">
        <f t="shared" si="43"/>
        <v>1292365.1946733696</v>
      </c>
      <c r="I175" s="9">
        <f>E175*Параметры!$C$16</f>
        <v>969273.896005027</v>
      </c>
      <c r="J175" s="9">
        <f>Параметры!$C$27</f>
        <v>260416.66666666666</v>
      </c>
      <c r="K175" s="9">
        <f>MAX(0,Параметры!$C$20-Параметры!$C$27*MAX(0,A175-Параметры!$C$11-1))*Параметры!$C$15/12</f>
        <v>151345.48611111112</v>
      </c>
      <c r="L175" s="9">
        <f t="shared" si="44"/>
        <v>5080789.9245840423</v>
      </c>
      <c r="M175" s="9">
        <f>T174*Параметры!$C$10/12</f>
        <v>353987.19057346322</v>
      </c>
      <c r="N175" s="9">
        <f t="shared" si="45"/>
        <v>4726802.7340105791</v>
      </c>
      <c r="O175" s="9">
        <f>MAX(0,N175*Параметры!$C$14)</f>
        <v>945360.54680211586</v>
      </c>
      <c r="P175" s="9">
        <f t="shared" si="46"/>
        <v>3781442.1872084634</v>
      </c>
      <c r="Q175" s="9">
        <v>0</v>
      </c>
      <c r="R175" s="9">
        <v>0</v>
      </c>
      <c r="S175" s="9">
        <f>MAX(0,MIN(Параметры!$C$26-M175,T174))</f>
        <v>888274.76321299141</v>
      </c>
      <c r="T175" s="9">
        <f t="shared" si="47"/>
        <v>27430700.482664067</v>
      </c>
      <c r="U175" s="9">
        <f t="shared" si="48"/>
        <v>1861218.8959887689</v>
      </c>
      <c r="V175" s="9">
        <f t="shared" si="41"/>
        <v>85886823.02433604</v>
      </c>
    </row>
    <row r="176" spans="1:22" x14ac:dyDescent="0.25">
      <c r="A176" s="11">
        <v>175</v>
      </c>
      <c r="B176" s="11" t="s">
        <v>237</v>
      </c>
      <c r="C176" s="12" t="s">
        <v>73</v>
      </c>
      <c r="D176" s="13">
        <f>Параметры!$C$4*Параметры!$C$7*(1+Параметры!$C$8)^INT((A176-Параметры!$C$11-1)/12)</f>
        <v>7754191.1680402169</v>
      </c>
      <c r="E176" s="13">
        <f>D176/(1+Параметры!$C$13)</f>
        <v>6461825.9733668473</v>
      </c>
      <c r="F176" s="13">
        <f t="shared" si="42"/>
        <v>1292365.1946733696</v>
      </c>
      <c r="G176" s="13">
        <f>IF(AND(A176&gt;Параметры!$C$11,A176&lt;=Параметры!$C$11+3),Параметры!$C$28,0)</f>
        <v>0</v>
      </c>
      <c r="H176" s="13">
        <f t="shared" si="43"/>
        <v>1292365.1946733696</v>
      </c>
      <c r="I176" s="13">
        <f>E176*Параметры!$C$16</f>
        <v>969273.896005027</v>
      </c>
      <c r="J176" s="13">
        <f>Параметры!$C$27</f>
        <v>260416.66666666666</v>
      </c>
      <c r="K176" s="13">
        <f>MAX(0,Параметры!$C$20-Параметры!$C$27*MAX(0,A176-Параметры!$C$11-1))*Параметры!$C$15/12</f>
        <v>150868.05555555556</v>
      </c>
      <c r="L176" s="13">
        <f t="shared" si="44"/>
        <v>5081267.3551395973</v>
      </c>
      <c r="M176" s="13">
        <f>T175*Параметры!$C$10/12</f>
        <v>342883.75603330083</v>
      </c>
      <c r="N176" s="13">
        <f t="shared" si="45"/>
        <v>4738383.5991062969</v>
      </c>
      <c r="O176" s="13">
        <f>MAX(0,N176*Параметры!$C$14)</f>
        <v>947676.71982125938</v>
      </c>
      <c r="P176" s="13">
        <f t="shared" si="46"/>
        <v>3790706.8792850375</v>
      </c>
      <c r="Q176" s="13">
        <v>0</v>
      </c>
      <c r="R176" s="13">
        <v>0</v>
      </c>
      <c r="S176" s="13">
        <f>MAX(0,MIN(Параметры!$C$26-M176,T175))</f>
        <v>899378.19775315374</v>
      </c>
      <c r="T176" s="13">
        <f t="shared" si="47"/>
        <v>26531322.284910914</v>
      </c>
      <c r="U176" s="13">
        <f t="shared" si="48"/>
        <v>1859380.1535251806</v>
      </c>
      <c r="V176" s="13">
        <f t="shared" si="41"/>
        <v>87746203.177861214</v>
      </c>
    </row>
    <row r="177" spans="1:22" x14ac:dyDescent="0.25">
      <c r="A177" s="14">
        <v>176</v>
      </c>
      <c r="B177" s="14" t="s">
        <v>238</v>
      </c>
      <c r="C177" s="15" t="s">
        <v>73</v>
      </c>
      <c r="D177" s="9">
        <f>Параметры!$C$4*Параметры!$C$7*(1+Параметры!$C$8)^INT((A177-Параметры!$C$11-1)/12)</f>
        <v>7754191.1680402169</v>
      </c>
      <c r="E177" s="9">
        <f>D177/(1+Параметры!$C$13)</f>
        <v>6461825.9733668473</v>
      </c>
      <c r="F177" s="9">
        <f t="shared" si="42"/>
        <v>1292365.1946733696</v>
      </c>
      <c r="G177" s="9">
        <f>IF(AND(A177&gt;Параметры!$C$11,A177&lt;=Параметры!$C$11+3),Параметры!$C$28,0)</f>
        <v>0</v>
      </c>
      <c r="H177" s="9">
        <f t="shared" si="43"/>
        <v>1292365.1946733696</v>
      </c>
      <c r="I177" s="9">
        <f>E177*Параметры!$C$16</f>
        <v>969273.896005027</v>
      </c>
      <c r="J177" s="9">
        <f>Параметры!$C$27</f>
        <v>260416.66666666666</v>
      </c>
      <c r="K177" s="9">
        <f>MAX(0,Параметры!$C$20-Параметры!$C$27*MAX(0,A177-Параметры!$C$11-1))*Параметры!$C$15/12</f>
        <v>150390.625</v>
      </c>
      <c r="L177" s="9">
        <f t="shared" si="44"/>
        <v>5081744.7856951533</v>
      </c>
      <c r="M177" s="9">
        <f>T176*Параметры!$C$10/12</f>
        <v>331641.5285613864</v>
      </c>
      <c r="N177" s="9">
        <f t="shared" si="45"/>
        <v>4750103.257133767</v>
      </c>
      <c r="O177" s="9">
        <f>MAX(0,N177*Параметры!$C$14)</f>
        <v>950020.65142675349</v>
      </c>
      <c r="P177" s="9">
        <f t="shared" si="46"/>
        <v>3800082.6057070135</v>
      </c>
      <c r="Q177" s="9">
        <v>0</v>
      </c>
      <c r="R177" s="9">
        <v>0</v>
      </c>
      <c r="S177" s="9">
        <f>MAX(0,MIN(Параметры!$C$26-M177,T176))</f>
        <v>910620.42522506823</v>
      </c>
      <c r="T177" s="9">
        <f t="shared" si="47"/>
        <v>25620701.859685846</v>
      </c>
      <c r="U177" s="9">
        <f t="shared" si="48"/>
        <v>1857513.652475242</v>
      </c>
      <c r="V177" s="9">
        <f t="shared" si="41"/>
        <v>89603716.830336452</v>
      </c>
    </row>
    <row r="178" spans="1:22" x14ac:dyDescent="0.25">
      <c r="A178" s="11">
        <v>177</v>
      </c>
      <c r="B178" s="11" t="s">
        <v>239</v>
      </c>
      <c r="C178" s="12" t="s">
        <v>73</v>
      </c>
      <c r="D178" s="13">
        <f>Параметры!$C$4*Параметры!$C$7*(1+Параметры!$C$8)^INT((A178-Параметры!$C$11-1)/12)</f>
        <v>7754191.1680402169</v>
      </c>
      <c r="E178" s="13">
        <f>D178/(1+Параметры!$C$13)</f>
        <v>6461825.9733668473</v>
      </c>
      <c r="F178" s="13">
        <f t="shared" si="42"/>
        <v>1292365.1946733696</v>
      </c>
      <c r="G178" s="13">
        <f>IF(AND(A178&gt;Параметры!$C$11,A178&lt;=Параметры!$C$11+3),Параметры!$C$28,0)</f>
        <v>0</v>
      </c>
      <c r="H178" s="13">
        <f t="shared" si="43"/>
        <v>1292365.1946733696</v>
      </c>
      <c r="I178" s="13">
        <f>E178*Параметры!$C$16</f>
        <v>969273.896005027</v>
      </c>
      <c r="J178" s="13">
        <f>Параметры!$C$27</f>
        <v>260416.66666666666</v>
      </c>
      <c r="K178" s="13">
        <f>MAX(0,Параметры!$C$20-Параметры!$C$27*MAX(0,A178-Параметры!$C$11-1))*Параметры!$C$15/12</f>
        <v>149913.19444444447</v>
      </c>
      <c r="L178" s="13">
        <f t="shared" si="44"/>
        <v>5082222.2162507093</v>
      </c>
      <c r="M178" s="13">
        <f>T177*Параметры!$C$10/12</f>
        <v>320258.77324607305</v>
      </c>
      <c r="N178" s="13">
        <f t="shared" si="45"/>
        <v>4761963.4430046361</v>
      </c>
      <c r="O178" s="13">
        <f>MAX(0,N178*Параметры!$C$14)</f>
        <v>952392.68860092724</v>
      </c>
      <c r="P178" s="13">
        <f t="shared" si="46"/>
        <v>3809570.754403709</v>
      </c>
      <c r="Q178" s="13">
        <v>0</v>
      </c>
      <c r="R178" s="13">
        <v>0</v>
      </c>
      <c r="S178" s="13">
        <f>MAX(0,MIN(Параметры!$C$26-M178,T177))</f>
        <v>922003.18054038158</v>
      </c>
      <c r="T178" s="13">
        <f t="shared" si="47"/>
        <v>24698698.679145463</v>
      </c>
      <c r="U178" s="13">
        <f t="shared" si="48"/>
        <v>1855619.0458566244</v>
      </c>
      <c r="V178" s="13">
        <f t="shared" si="41"/>
        <v>91459335.876193076</v>
      </c>
    </row>
    <row r="179" spans="1:22" x14ac:dyDescent="0.25">
      <c r="A179" s="14">
        <v>178</v>
      </c>
      <c r="B179" s="14" t="s">
        <v>240</v>
      </c>
      <c r="C179" s="15" t="s">
        <v>73</v>
      </c>
      <c r="D179" s="9">
        <f>Параметры!$C$4*Параметры!$C$7*(1+Параметры!$C$8)^INT((A179-Параметры!$C$11-1)/12)</f>
        <v>7754191.1680402169</v>
      </c>
      <c r="E179" s="9">
        <f>D179/(1+Параметры!$C$13)</f>
        <v>6461825.9733668473</v>
      </c>
      <c r="F179" s="9">
        <f t="shared" si="42"/>
        <v>1292365.1946733696</v>
      </c>
      <c r="G179" s="9">
        <f>IF(AND(A179&gt;Параметры!$C$11,A179&lt;=Параметры!$C$11+3),Параметры!$C$28,0)</f>
        <v>0</v>
      </c>
      <c r="H179" s="9">
        <f t="shared" si="43"/>
        <v>1292365.1946733696</v>
      </c>
      <c r="I179" s="9">
        <f>E179*Параметры!$C$16</f>
        <v>969273.896005027</v>
      </c>
      <c r="J179" s="9">
        <f>Параметры!$C$27</f>
        <v>260416.66666666666</v>
      </c>
      <c r="K179" s="9">
        <f>MAX(0,Параметры!$C$20-Параметры!$C$27*MAX(0,A179-Параметры!$C$11-1))*Параметры!$C$15/12</f>
        <v>149435.76388888891</v>
      </c>
      <c r="L179" s="9">
        <f t="shared" si="44"/>
        <v>5082699.6468062643</v>
      </c>
      <c r="M179" s="9">
        <f>T178*Параметры!$C$10/12</f>
        <v>308733.73348931829</v>
      </c>
      <c r="N179" s="9">
        <f t="shared" si="45"/>
        <v>4773965.9133169465</v>
      </c>
      <c r="O179" s="9">
        <f>MAX(0,N179*Параметры!$C$14)</f>
        <v>954793.18266338937</v>
      </c>
      <c r="P179" s="9">
        <f t="shared" si="46"/>
        <v>3819172.730653557</v>
      </c>
      <c r="Q179" s="9">
        <v>0</v>
      </c>
      <c r="R179" s="9">
        <v>0</v>
      </c>
      <c r="S179" s="9">
        <f>MAX(0,MIN(Параметры!$C$26-M179,T178))</f>
        <v>933528.22029713634</v>
      </c>
      <c r="T179" s="9">
        <f t="shared" si="47"/>
        <v>23765170.458848327</v>
      </c>
      <c r="U179" s="9">
        <f t="shared" si="48"/>
        <v>1853695.9823497175</v>
      </c>
      <c r="V179" s="9">
        <f t="shared" si="41"/>
        <v>93313031.8585428</v>
      </c>
    </row>
    <row r="180" spans="1:22" x14ac:dyDescent="0.25">
      <c r="A180" s="11">
        <v>179</v>
      </c>
      <c r="B180" s="11" t="s">
        <v>241</v>
      </c>
      <c r="C180" s="12" t="s">
        <v>73</v>
      </c>
      <c r="D180" s="13">
        <f>Параметры!$C$4*Параметры!$C$7*(1+Параметры!$C$8)^INT((A180-Параметры!$C$11-1)/12)</f>
        <v>8374526.4614834366</v>
      </c>
      <c r="E180" s="13">
        <f>D180/(1+Параметры!$C$13)</f>
        <v>6978772.0512361974</v>
      </c>
      <c r="F180" s="13">
        <f t="shared" si="42"/>
        <v>1395754.4102472393</v>
      </c>
      <c r="G180" s="13">
        <f>IF(AND(A180&gt;Параметры!$C$11,A180&lt;=Параметры!$C$11+3),Параметры!$C$28,0)</f>
        <v>0</v>
      </c>
      <c r="H180" s="13">
        <f t="shared" si="43"/>
        <v>1395754.4102472393</v>
      </c>
      <c r="I180" s="13">
        <f>E180*Параметры!$C$16</f>
        <v>1046815.8076854296</v>
      </c>
      <c r="J180" s="13">
        <f>Параметры!$C$27</f>
        <v>260416.66666666666</v>
      </c>
      <c r="K180" s="13">
        <f>MAX(0,Параметры!$C$20-Параметры!$C$27*MAX(0,A180-Параметры!$C$11-1))*Параметры!$C$15/12</f>
        <v>148958.33333333334</v>
      </c>
      <c r="L180" s="13">
        <f t="shared" si="44"/>
        <v>5522581.2435507681</v>
      </c>
      <c r="M180" s="13">
        <f>T179*Параметры!$C$10/12</f>
        <v>297064.63073560409</v>
      </c>
      <c r="N180" s="13">
        <f t="shared" si="45"/>
        <v>5225516.612815164</v>
      </c>
      <c r="O180" s="13">
        <f>MAX(0,N180*Параметры!$C$14)</f>
        <v>1045103.3225630329</v>
      </c>
      <c r="P180" s="13">
        <f t="shared" si="46"/>
        <v>4180413.2902521314</v>
      </c>
      <c r="Q180" s="13">
        <v>0</v>
      </c>
      <c r="R180" s="13">
        <v>0</v>
      </c>
      <c r="S180" s="13">
        <f>MAX(0,MIN(Параметры!$C$26-M180,T179))</f>
        <v>945197.32305085054</v>
      </c>
      <c r="T180" s="13">
        <f t="shared" si="47"/>
        <v>22819973.135797478</v>
      </c>
      <c r="U180" s="13">
        <f t="shared" si="48"/>
        <v>2099878.2236207086</v>
      </c>
      <c r="V180" s="13">
        <f t="shared" si="41"/>
        <v>95412910.082163513</v>
      </c>
    </row>
    <row r="181" spans="1:22" x14ac:dyDescent="0.25">
      <c r="A181" s="14">
        <v>180</v>
      </c>
      <c r="B181" s="14" t="s">
        <v>242</v>
      </c>
      <c r="C181" s="15" t="s">
        <v>73</v>
      </c>
      <c r="D181" s="9">
        <f>Параметры!$C$4*Параметры!$C$7*(1+Параметры!$C$8)^INT((A181-Параметры!$C$11-1)/12)</f>
        <v>8374526.4614834366</v>
      </c>
      <c r="E181" s="9">
        <f>D181/(1+Параметры!$C$13)</f>
        <v>6978772.0512361974</v>
      </c>
      <c r="F181" s="9">
        <f t="shared" si="42"/>
        <v>1395754.4102472393</v>
      </c>
      <c r="G181" s="9">
        <f>IF(AND(A181&gt;Параметры!$C$11,A181&lt;=Параметры!$C$11+3),Параметры!$C$28,0)</f>
        <v>0</v>
      </c>
      <c r="H181" s="9">
        <f t="shared" si="43"/>
        <v>1395754.4102472393</v>
      </c>
      <c r="I181" s="9">
        <f>E181*Параметры!$C$16</f>
        <v>1046815.8076854296</v>
      </c>
      <c r="J181" s="9">
        <f>Параметры!$C$27</f>
        <v>260416.66666666666</v>
      </c>
      <c r="K181" s="9">
        <f>MAX(0,Параметры!$C$20-Параметры!$C$27*MAX(0,A181-Параметры!$C$11-1))*Параметры!$C$15/12</f>
        <v>148480.90277777778</v>
      </c>
      <c r="L181" s="9">
        <f t="shared" si="44"/>
        <v>5523058.6741063232</v>
      </c>
      <c r="M181" s="9">
        <f>T180*Параметры!$C$10/12</f>
        <v>285249.66419746849</v>
      </c>
      <c r="N181" s="9">
        <f t="shared" si="45"/>
        <v>5237809.009908855</v>
      </c>
      <c r="O181" s="9">
        <f>MAX(0,N181*Параметры!$C$14)</f>
        <v>1047561.801981771</v>
      </c>
      <c r="P181" s="9">
        <f t="shared" si="46"/>
        <v>4190247.2079270841</v>
      </c>
      <c r="Q181" s="9">
        <v>0</v>
      </c>
      <c r="R181" s="9">
        <v>0</v>
      </c>
      <c r="S181" s="9">
        <f>MAX(0,MIN(Параметры!$C$26-M181,T180))</f>
        <v>957012.2895889862</v>
      </c>
      <c r="T181" s="9">
        <f t="shared" si="47"/>
        <v>21862960.84620849</v>
      </c>
      <c r="U181" s="9">
        <f t="shared" si="48"/>
        <v>2097897.1747575253</v>
      </c>
      <c r="V181" s="9">
        <f t="shared" si="41"/>
        <v>97510807.256921038</v>
      </c>
    </row>
    <row r="182" spans="1:22" x14ac:dyDescent="0.25">
      <c r="A182" s="11">
        <v>181</v>
      </c>
      <c r="B182" s="11" t="s">
        <v>243</v>
      </c>
      <c r="C182" s="12" t="s">
        <v>73</v>
      </c>
      <c r="D182" s="13">
        <f>Параметры!$C$4*Параметры!$C$7*(1+Параметры!$C$8)^INT((A182-Параметры!$C$11-1)/12)</f>
        <v>8374526.4614834366</v>
      </c>
      <c r="E182" s="13">
        <f>D182/(1+Параметры!$C$13)</f>
        <v>6978772.0512361974</v>
      </c>
      <c r="F182" s="13">
        <f t="shared" si="42"/>
        <v>1395754.4102472393</v>
      </c>
      <c r="G182" s="13">
        <f>IF(AND(A182&gt;Параметры!$C$11,A182&lt;=Параметры!$C$11+3),Параметры!$C$28,0)</f>
        <v>0</v>
      </c>
      <c r="H182" s="13">
        <f t="shared" si="43"/>
        <v>1395754.4102472393</v>
      </c>
      <c r="I182" s="13">
        <f>E182*Параметры!$C$16</f>
        <v>1046815.8076854296</v>
      </c>
      <c r="J182" s="13">
        <f>Параметры!$C$27</f>
        <v>260416.66666666666</v>
      </c>
      <c r="K182" s="13">
        <f>MAX(0,Параметры!$C$20-Параметры!$C$27*MAX(0,A182-Параметры!$C$11-1))*Параметры!$C$15/12</f>
        <v>148003.47222222222</v>
      </c>
      <c r="L182" s="13">
        <f t="shared" si="44"/>
        <v>5523536.1046618791</v>
      </c>
      <c r="M182" s="13">
        <f>T181*Параметры!$C$10/12</f>
        <v>273287.0105776061</v>
      </c>
      <c r="N182" s="13">
        <f t="shared" si="45"/>
        <v>5250249.0940842731</v>
      </c>
      <c r="O182" s="13">
        <f>MAX(0,N182*Параметры!$C$14)</f>
        <v>1050049.8188168546</v>
      </c>
      <c r="P182" s="13">
        <f t="shared" si="46"/>
        <v>4200199.2752674185</v>
      </c>
      <c r="Q182" s="13">
        <v>0</v>
      </c>
      <c r="R182" s="13">
        <v>0</v>
      </c>
      <c r="S182" s="13">
        <f>MAX(0,MIN(Параметры!$C$26-M182,T181))</f>
        <v>968974.94320884859</v>
      </c>
      <c r="T182" s="13">
        <f t="shared" si="47"/>
        <v>20893985.902999643</v>
      </c>
      <c r="U182" s="13">
        <f t="shared" si="48"/>
        <v>2095886.5884779976</v>
      </c>
      <c r="V182" s="13">
        <f t="shared" si="41"/>
        <v>99606693.845399037</v>
      </c>
    </row>
    <row r="183" spans="1:22" x14ac:dyDescent="0.25">
      <c r="A183" s="14">
        <v>182</v>
      </c>
      <c r="B183" s="14" t="s">
        <v>244</v>
      </c>
      <c r="C183" s="15" t="s">
        <v>73</v>
      </c>
      <c r="D183" s="9">
        <f>Параметры!$C$4*Параметры!$C$7*(1+Параметры!$C$8)^INT((A183-Параметры!$C$11-1)/12)</f>
        <v>8374526.4614834366</v>
      </c>
      <c r="E183" s="9">
        <f>D183/(1+Параметры!$C$13)</f>
        <v>6978772.0512361974</v>
      </c>
      <c r="F183" s="9">
        <f t="shared" si="42"/>
        <v>1395754.4102472393</v>
      </c>
      <c r="G183" s="9">
        <f>IF(AND(A183&gt;Параметры!$C$11,A183&lt;=Параметры!$C$11+3),Параметры!$C$28,0)</f>
        <v>0</v>
      </c>
      <c r="H183" s="9">
        <f t="shared" si="43"/>
        <v>1395754.4102472393</v>
      </c>
      <c r="I183" s="9">
        <f>E183*Параметры!$C$16</f>
        <v>1046815.8076854296</v>
      </c>
      <c r="J183" s="9">
        <f>Параметры!$C$27</f>
        <v>260416.66666666666</v>
      </c>
      <c r="K183" s="9">
        <f>MAX(0,Параметры!$C$20-Параметры!$C$27*MAX(0,A183-Параметры!$C$11-1))*Параметры!$C$15/12</f>
        <v>147526.04166666666</v>
      </c>
      <c r="L183" s="9">
        <f t="shared" si="44"/>
        <v>5524013.5352174342</v>
      </c>
      <c r="M183" s="9">
        <f>T182*Параметры!$C$10/12</f>
        <v>261174.82378749552</v>
      </c>
      <c r="N183" s="9">
        <f t="shared" si="45"/>
        <v>5262838.7114299387</v>
      </c>
      <c r="O183" s="9">
        <f>MAX(0,N183*Параметры!$C$14)</f>
        <v>1052567.7422859878</v>
      </c>
      <c r="P183" s="9">
        <f t="shared" si="46"/>
        <v>4210270.9691439513</v>
      </c>
      <c r="Q183" s="9">
        <v>0</v>
      </c>
      <c r="R183" s="9">
        <v>0</v>
      </c>
      <c r="S183" s="9">
        <f>MAX(0,MIN(Параметры!$C$26-M183,T182))</f>
        <v>981087.12999895914</v>
      </c>
      <c r="T183" s="9">
        <f t="shared" si="47"/>
        <v>19912898.773000684</v>
      </c>
      <c r="U183" s="9">
        <f t="shared" si="48"/>
        <v>2093846.0955644199</v>
      </c>
      <c r="V183" s="9">
        <f t="shared" si="41"/>
        <v>101700539.94096346</v>
      </c>
    </row>
    <row r="184" spans="1:22" x14ac:dyDescent="0.25">
      <c r="A184" s="11">
        <v>183</v>
      </c>
      <c r="B184" s="11" t="s">
        <v>245</v>
      </c>
      <c r="C184" s="12" t="s">
        <v>73</v>
      </c>
      <c r="D184" s="13">
        <f>Параметры!$C$4*Параметры!$C$7*(1+Параметры!$C$8)^INT((A184-Параметры!$C$11-1)/12)</f>
        <v>8374526.4614834366</v>
      </c>
      <c r="E184" s="13">
        <f>D184/(1+Параметры!$C$13)</f>
        <v>6978772.0512361974</v>
      </c>
      <c r="F184" s="13">
        <f t="shared" si="42"/>
        <v>1395754.4102472393</v>
      </c>
      <c r="G184" s="13">
        <f>IF(AND(A184&gt;Параметры!$C$11,A184&lt;=Параметры!$C$11+3),Параметры!$C$28,0)</f>
        <v>0</v>
      </c>
      <c r="H184" s="13">
        <f t="shared" si="43"/>
        <v>1395754.4102472393</v>
      </c>
      <c r="I184" s="13">
        <f>E184*Параметры!$C$16</f>
        <v>1046815.8076854296</v>
      </c>
      <c r="J184" s="13">
        <f>Параметры!$C$27</f>
        <v>260416.66666666666</v>
      </c>
      <c r="K184" s="13">
        <f>MAX(0,Параметры!$C$20-Параметры!$C$27*MAX(0,A184-Параметры!$C$11-1))*Параметры!$C$15/12</f>
        <v>147048.61111111112</v>
      </c>
      <c r="L184" s="13">
        <f t="shared" si="44"/>
        <v>5524490.9657729901</v>
      </c>
      <c r="M184" s="13">
        <f>T183*Параметры!$C$10/12</f>
        <v>248911.23466250856</v>
      </c>
      <c r="N184" s="13">
        <f t="shared" si="45"/>
        <v>5275579.7311104815</v>
      </c>
      <c r="O184" s="13">
        <f>MAX(0,N184*Параметры!$C$14)</f>
        <v>1055115.9462220964</v>
      </c>
      <c r="P184" s="13">
        <f t="shared" si="46"/>
        <v>4220463.7848883849</v>
      </c>
      <c r="Q184" s="13">
        <v>0</v>
      </c>
      <c r="R184" s="13">
        <v>0</v>
      </c>
      <c r="S184" s="13">
        <f>MAX(0,MIN(Параметры!$C$26-M184,T183))</f>
        <v>993350.71912394604</v>
      </c>
      <c r="T184" s="13">
        <f t="shared" si="47"/>
        <v>18919548.053876739</v>
      </c>
      <c r="U184" s="13">
        <f t="shared" si="48"/>
        <v>2091775.3221838665</v>
      </c>
      <c r="V184" s="13">
        <f t="shared" si="41"/>
        <v>103792315.26314732</v>
      </c>
    </row>
    <row r="185" spans="1:22" x14ac:dyDescent="0.25">
      <c r="A185" s="14">
        <v>184</v>
      </c>
      <c r="B185" s="14" t="s">
        <v>246</v>
      </c>
      <c r="C185" s="15" t="s">
        <v>73</v>
      </c>
      <c r="D185" s="9">
        <f>Параметры!$C$4*Параметры!$C$7*(1+Параметры!$C$8)^INT((A185-Параметры!$C$11-1)/12)</f>
        <v>8374526.4614834366</v>
      </c>
      <c r="E185" s="9">
        <f>D185/(1+Параметры!$C$13)</f>
        <v>6978772.0512361974</v>
      </c>
      <c r="F185" s="9">
        <f t="shared" si="42"/>
        <v>1395754.4102472393</v>
      </c>
      <c r="G185" s="9">
        <f>IF(AND(A185&gt;Параметры!$C$11,A185&lt;=Параметры!$C$11+3),Параметры!$C$28,0)</f>
        <v>0</v>
      </c>
      <c r="H185" s="9">
        <f t="shared" si="43"/>
        <v>1395754.4102472393</v>
      </c>
      <c r="I185" s="9">
        <f>E185*Параметры!$C$16</f>
        <v>1046815.8076854296</v>
      </c>
      <c r="J185" s="9">
        <f>Параметры!$C$27</f>
        <v>260416.66666666666</v>
      </c>
      <c r="K185" s="9">
        <f>MAX(0,Параметры!$C$20-Параметры!$C$27*MAX(0,A185-Параметры!$C$11-1))*Параметры!$C$15/12</f>
        <v>146571.18055555556</v>
      </c>
      <c r="L185" s="9">
        <f t="shared" si="44"/>
        <v>5524968.3963285452</v>
      </c>
      <c r="M185" s="9">
        <f>T184*Параметры!$C$10/12</f>
        <v>236494.35067345924</v>
      </c>
      <c r="N185" s="9">
        <f t="shared" si="45"/>
        <v>5288474.0456550857</v>
      </c>
      <c r="O185" s="9">
        <f>MAX(0,N185*Параметры!$C$14)</f>
        <v>1057694.8091310172</v>
      </c>
      <c r="P185" s="9">
        <f t="shared" si="46"/>
        <v>4230779.2365240688</v>
      </c>
      <c r="Q185" s="9">
        <v>0</v>
      </c>
      <c r="R185" s="9">
        <v>0</v>
      </c>
      <c r="S185" s="9">
        <f>MAX(0,MIN(Параметры!$C$26-M185,T184))</f>
        <v>1005767.6031129954</v>
      </c>
      <c r="T185" s="9">
        <f t="shared" si="47"/>
        <v>17913780.450763743</v>
      </c>
      <c r="U185" s="9">
        <f t="shared" si="48"/>
        <v>2089673.8898305008</v>
      </c>
      <c r="V185" s="9">
        <f t="shared" si="41"/>
        <v>105881989.15297782</v>
      </c>
    </row>
    <row r="186" spans="1:22" x14ac:dyDescent="0.25">
      <c r="A186" s="11">
        <v>185</v>
      </c>
      <c r="B186" s="11" t="s">
        <v>247</v>
      </c>
      <c r="C186" s="12" t="s">
        <v>73</v>
      </c>
      <c r="D186" s="13">
        <f>Параметры!$C$4*Параметры!$C$7*(1+Параметры!$C$8)^INT((A186-Параметры!$C$11-1)/12)</f>
        <v>8374526.4614834366</v>
      </c>
      <c r="E186" s="13">
        <f>D186/(1+Параметры!$C$13)</f>
        <v>6978772.0512361974</v>
      </c>
      <c r="F186" s="13">
        <f t="shared" si="42"/>
        <v>1395754.4102472393</v>
      </c>
      <c r="G186" s="13">
        <f>IF(AND(A186&gt;Параметры!$C$11,A186&lt;=Параметры!$C$11+3),Параметры!$C$28,0)</f>
        <v>0</v>
      </c>
      <c r="H186" s="13">
        <f t="shared" si="43"/>
        <v>1395754.4102472393</v>
      </c>
      <c r="I186" s="13">
        <f>E186*Параметры!$C$16</f>
        <v>1046815.8076854296</v>
      </c>
      <c r="J186" s="13">
        <f>Параметры!$C$27</f>
        <v>260416.66666666666</v>
      </c>
      <c r="K186" s="13">
        <f>MAX(0,Параметры!$C$20-Параметры!$C$27*MAX(0,A186-Параметры!$C$11-1))*Параметры!$C$15/12</f>
        <v>146093.75</v>
      </c>
      <c r="L186" s="13">
        <f t="shared" si="44"/>
        <v>5525445.8268841011</v>
      </c>
      <c r="M186" s="13">
        <f>T185*Параметры!$C$10/12</f>
        <v>223922.25563454677</v>
      </c>
      <c r="N186" s="13">
        <f t="shared" si="45"/>
        <v>5301523.5712495539</v>
      </c>
      <c r="O186" s="13">
        <f>MAX(0,N186*Параметры!$C$14)</f>
        <v>1060304.7142499108</v>
      </c>
      <c r="P186" s="13">
        <f t="shared" si="46"/>
        <v>4241218.8569996431</v>
      </c>
      <c r="Q186" s="13">
        <v>0</v>
      </c>
      <c r="R186" s="13">
        <v>0</v>
      </c>
      <c r="S186" s="13">
        <f>MAX(0,MIN(Параметры!$C$26-M186,T185))</f>
        <v>1018339.6981519079</v>
      </c>
      <c r="T186" s="13">
        <f t="shared" si="47"/>
        <v>16895440.752611835</v>
      </c>
      <c r="U186" s="13">
        <f t="shared" si="48"/>
        <v>2087541.415267163</v>
      </c>
      <c r="V186" s="13">
        <f t="shared" si="41"/>
        <v>107969530.56824499</v>
      </c>
    </row>
    <row r="187" spans="1:22" x14ac:dyDescent="0.25">
      <c r="A187" s="14">
        <v>186</v>
      </c>
      <c r="B187" s="14" t="s">
        <v>248</v>
      </c>
      <c r="C187" s="15" t="s">
        <v>73</v>
      </c>
      <c r="D187" s="9">
        <f>Параметры!$C$4*Параметры!$C$7*(1+Параметры!$C$8)^INT((A187-Параметры!$C$11-1)/12)</f>
        <v>8374526.4614834366</v>
      </c>
      <c r="E187" s="9">
        <f>D187/(1+Параметры!$C$13)</f>
        <v>6978772.0512361974</v>
      </c>
      <c r="F187" s="9">
        <f t="shared" si="42"/>
        <v>1395754.4102472393</v>
      </c>
      <c r="G187" s="9">
        <f>IF(AND(A187&gt;Параметры!$C$11,A187&lt;=Параметры!$C$11+3),Параметры!$C$28,0)</f>
        <v>0</v>
      </c>
      <c r="H187" s="9">
        <f t="shared" si="43"/>
        <v>1395754.4102472393</v>
      </c>
      <c r="I187" s="9">
        <f>E187*Параметры!$C$16</f>
        <v>1046815.8076854296</v>
      </c>
      <c r="J187" s="9">
        <f>Параметры!$C$27</f>
        <v>260416.66666666666</v>
      </c>
      <c r="K187" s="9">
        <f>MAX(0,Параметры!$C$20-Параметры!$C$27*MAX(0,A187-Параметры!$C$11-1))*Параметры!$C$15/12</f>
        <v>145616.31944444447</v>
      </c>
      <c r="L187" s="9">
        <f t="shared" si="44"/>
        <v>5525923.2574396571</v>
      </c>
      <c r="M187" s="9">
        <f>T186*Параметры!$C$10/12</f>
        <v>211193.00940764791</v>
      </c>
      <c r="N187" s="9">
        <f t="shared" si="45"/>
        <v>5314730.2480320092</v>
      </c>
      <c r="O187" s="9">
        <f>MAX(0,N187*Параметры!$C$14)</f>
        <v>1062946.0496064019</v>
      </c>
      <c r="P187" s="9">
        <f t="shared" si="46"/>
        <v>4251784.1984256078</v>
      </c>
      <c r="Q187" s="9">
        <v>0</v>
      </c>
      <c r="R187" s="9">
        <v>0</v>
      </c>
      <c r="S187" s="9">
        <f>MAX(0,MIN(Параметры!$C$26-M187,T186))</f>
        <v>1031068.9443788067</v>
      </c>
      <c r="T187" s="9">
        <f t="shared" si="47"/>
        <v>15864371.808233028</v>
      </c>
      <c r="U187" s="9">
        <f t="shared" si="48"/>
        <v>2085377.5104662287</v>
      </c>
      <c r="V187" s="9">
        <f t="shared" si="41"/>
        <v>110054908.07871123</v>
      </c>
    </row>
    <row r="188" spans="1:22" x14ac:dyDescent="0.25">
      <c r="A188" s="11">
        <v>187</v>
      </c>
      <c r="B188" s="11" t="s">
        <v>249</v>
      </c>
      <c r="C188" s="12" t="s">
        <v>73</v>
      </c>
      <c r="D188" s="13">
        <f>Параметры!$C$4*Параметры!$C$7*(1+Параметры!$C$8)^INT((A188-Параметры!$C$11-1)/12)</f>
        <v>8374526.4614834366</v>
      </c>
      <c r="E188" s="13">
        <f>D188/(1+Параметры!$C$13)</f>
        <v>6978772.0512361974</v>
      </c>
      <c r="F188" s="13">
        <f t="shared" si="42"/>
        <v>1395754.4102472393</v>
      </c>
      <c r="G188" s="13">
        <f>IF(AND(A188&gt;Параметры!$C$11,A188&lt;=Параметры!$C$11+3),Параметры!$C$28,0)</f>
        <v>0</v>
      </c>
      <c r="H188" s="13">
        <f t="shared" si="43"/>
        <v>1395754.4102472393</v>
      </c>
      <c r="I188" s="13">
        <f>E188*Параметры!$C$16</f>
        <v>1046815.8076854296</v>
      </c>
      <c r="J188" s="13">
        <f>Параметры!$C$27</f>
        <v>260416.66666666666</v>
      </c>
      <c r="K188" s="13">
        <f>MAX(0,Параметры!$C$20-Параметры!$C$27*MAX(0,A188-Параметры!$C$11-1))*Параметры!$C$15/12</f>
        <v>145138.88888888891</v>
      </c>
      <c r="L188" s="13">
        <f t="shared" si="44"/>
        <v>5526400.6879952122</v>
      </c>
      <c r="M188" s="13">
        <f>T187*Параметры!$C$10/12</f>
        <v>198304.64760291285</v>
      </c>
      <c r="N188" s="13">
        <f t="shared" si="45"/>
        <v>5328096.0403922992</v>
      </c>
      <c r="O188" s="13">
        <f>MAX(0,N188*Параметры!$C$14)</f>
        <v>1065619.2080784598</v>
      </c>
      <c r="P188" s="13">
        <f t="shared" si="46"/>
        <v>4262476.8323138393</v>
      </c>
      <c r="Q188" s="13">
        <v>0</v>
      </c>
      <c r="R188" s="13">
        <v>0</v>
      </c>
      <c r="S188" s="13">
        <f>MAX(0,MIN(Параметры!$C$26-M188,T187))</f>
        <v>1043957.3061835418</v>
      </c>
      <c r="T188" s="13">
        <f t="shared" si="47"/>
        <v>14820414.502049487</v>
      </c>
      <c r="U188" s="13">
        <f t="shared" si="48"/>
        <v>2083181.7825497254</v>
      </c>
      <c r="V188" s="13">
        <f t="shared" si="41"/>
        <v>112138089.86126095</v>
      </c>
    </row>
    <row r="189" spans="1:22" x14ac:dyDescent="0.25">
      <c r="A189" s="14">
        <v>188</v>
      </c>
      <c r="B189" s="14" t="s">
        <v>250</v>
      </c>
      <c r="C189" s="15" t="s">
        <v>73</v>
      </c>
      <c r="D189" s="9">
        <f>Параметры!$C$4*Параметры!$C$7*(1+Параметры!$C$8)^INT((A189-Параметры!$C$11-1)/12)</f>
        <v>8374526.4614834366</v>
      </c>
      <c r="E189" s="9">
        <f>D189/(1+Параметры!$C$13)</f>
        <v>6978772.0512361974</v>
      </c>
      <c r="F189" s="9">
        <f t="shared" si="42"/>
        <v>1395754.4102472393</v>
      </c>
      <c r="G189" s="9">
        <f>IF(AND(A189&gt;Параметры!$C$11,A189&lt;=Параметры!$C$11+3),Параметры!$C$28,0)</f>
        <v>0</v>
      </c>
      <c r="H189" s="9">
        <f t="shared" si="43"/>
        <v>1395754.4102472393</v>
      </c>
      <c r="I189" s="9">
        <f>E189*Параметры!$C$16</f>
        <v>1046815.8076854296</v>
      </c>
      <c r="J189" s="9">
        <f>Параметры!$C$27</f>
        <v>260416.66666666666</v>
      </c>
      <c r="K189" s="9">
        <f>MAX(0,Параметры!$C$20-Параметры!$C$27*MAX(0,A189-Параметры!$C$11-1))*Параметры!$C$15/12</f>
        <v>144661.45833333334</v>
      </c>
      <c r="L189" s="9">
        <f t="shared" si="44"/>
        <v>5526878.1185507681</v>
      </c>
      <c r="M189" s="9">
        <f>T188*Параметры!$C$10/12</f>
        <v>185255.18127561858</v>
      </c>
      <c r="N189" s="9">
        <f t="shared" si="45"/>
        <v>5341622.9372751499</v>
      </c>
      <c r="O189" s="9">
        <f>MAX(0,N189*Параметры!$C$14)</f>
        <v>1068324.5874550301</v>
      </c>
      <c r="P189" s="9">
        <f t="shared" si="46"/>
        <v>4273298.3498201203</v>
      </c>
      <c r="Q189" s="9">
        <v>0</v>
      </c>
      <c r="R189" s="9">
        <v>0</v>
      </c>
      <c r="S189" s="9">
        <f>MAX(0,MIN(Параметры!$C$26-M189,T188))</f>
        <v>1057006.7725108361</v>
      </c>
      <c r="T189" s="9">
        <f t="shared" si="47"/>
        <v>13763407.729538651</v>
      </c>
      <c r="U189" s="9">
        <f t="shared" si="48"/>
        <v>2080953.8337287121</v>
      </c>
      <c r="V189" s="9">
        <f t="shared" si="41"/>
        <v>114219043.69498967</v>
      </c>
    </row>
    <row r="190" spans="1:22" x14ac:dyDescent="0.25">
      <c r="A190" s="11">
        <v>189</v>
      </c>
      <c r="B190" s="11" t="s">
        <v>251</v>
      </c>
      <c r="C190" s="12" t="s">
        <v>73</v>
      </c>
      <c r="D190" s="13">
        <f>Параметры!$C$4*Параметры!$C$7*(1+Параметры!$C$8)^INT((A190-Параметры!$C$11-1)/12)</f>
        <v>8374526.4614834366</v>
      </c>
      <c r="E190" s="13">
        <f>D190/(1+Параметры!$C$13)</f>
        <v>6978772.0512361974</v>
      </c>
      <c r="F190" s="13">
        <f t="shared" si="42"/>
        <v>1395754.4102472393</v>
      </c>
      <c r="G190" s="13">
        <f>IF(AND(A190&gt;Параметры!$C$11,A190&lt;=Параметры!$C$11+3),Параметры!$C$28,0)</f>
        <v>0</v>
      </c>
      <c r="H190" s="13">
        <f t="shared" si="43"/>
        <v>1395754.4102472393</v>
      </c>
      <c r="I190" s="13">
        <f>E190*Параметры!$C$16</f>
        <v>1046815.8076854296</v>
      </c>
      <c r="J190" s="13">
        <f>Параметры!$C$27</f>
        <v>260416.66666666666</v>
      </c>
      <c r="K190" s="13">
        <f>MAX(0,Параметры!$C$20-Параметры!$C$27*MAX(0,A190-Параметры!$C$11-1))*Параметры!$C$15/12</f>
        <v>144184.02777777778</v>
      </c>
      <c r="L190" s="13">
        <f t="shared" si="44"/>
        <v>5527355.5491063232</v>
      </c>
      <c r="M190" s="13">
        <f>T189*Параметры!$C$10/12</f>
        <v>172042.59661923314</v>
      </c>
      <c r="N190" s="13">
        <f t="shared" si="45"/>
        <v>5355312.9524870897</v>
      </c>
      <c r="O190" s="13">
        <f>MAX(0,N190*Параметры!$C$14)</f>
        <v>1071062.5904974181</v>
      </c>
      <c r="P190" s="13">
        <f t="shared" si="46"/>
        <v>4284250.3619896714</v>
      </c>
      <c r="Q190" s="13">
        <v>0</v>
      </c>
      <c r="R190" s="13">
        <v>0</v>
      </c>
      <c r="S190" s="13">
        <f>MAX(0,MIN(Параметры!$C$26-M190,T189))</f>
        <v>1070219.3571672216</v>
      </c>
      <c r="T190" s="13">
        <f t="shared" si="47"/>
        <v>12693188.37237143</v>
      </c>
      <c r="U190" s="13">
        <f t="shared" si="48"/>
        <v>2078693.2612418775</v>
      </c>
      <c r="V190" s="13">
        <f t="shared" si="41"/>
        <v>116297736.95623155</v>
      </c>
    </row>
    <row r="191" spans="1:22" x14ac:dyDescent="0.25">
      <c r="A191" s="14">
        <v>190</v>
      </c>
      <c r="B191" s="14" t="s">
        <v>252</v>
      </c>
      <c r="C191" s="15" t="s">
        <v>73</v>
      </c>
      <c r="D191" s="9">
        <f>Параметры!$C$4*Параметры!$C$7*(1+Параметры!$C$8)^INT((A191-Параметры!$C$11-1)/12)</f>
        <v>8374526.4614834366</v>
      </c>
      <c r="E191" s="9">
        <f>D191/(1+Параметры!$C$13)</f>
        <v>6978772.0512361974</v>
      </c>
      <c r="F191" s="9">
        <f t="shared" si="42"/>
        <v>1395754.4102472393</v>
      </c>
      <c r="G191" s="9">
        <f>IF(AND(A191&gt;Параметры!$C$11,A191&lt;=Параметры!$C$11+3),Параметры!$C$28,0)</f>
        <v>0</v>
      </c>
      <c r="H191" s="9">
        <f t="shared" si="43"/>
        <v>1395754.4102472393</v>
      </c>
      <c r="I191" s="9">
        <f>E191*Параметры!$C$16</f>
        <v>1046815.8076854296</v>
      </c>
      <c r="J191" s="9">
        <f>Параметры!$C$27</f>
        <v>260416.66666666666</v>
      </c>
      <c r="K191" s="9">
        <f>MAX(0,Параметры!$C$20-Параметры!$C$27*MAX(0,A191-Параметры!$C$11-1))*Параметры!$C$15/12</f>
        <v>143706.59722222222</v>
      </c>
      <c r="L191" s="9">
        <f t="shared" si="44"/>
        <v>5527832.9796618791</v>
      </c>
      <c r="M191" s="9">
        <f>T190*Параметры!$C$10/12</f>
        <v>158664.85465464287</v>
      </c>
      <c r="N191" s="9">
        <f t="shared" si="45"/>
        <v>5369168.1250072364</v>
      </c>
      <c r="O191" s="9">
        <f>MAX(0,N191*Параметры!$C$14)</f>
        <v>1073833.6250014473</v>
      </c>
      <c r="P191" s="9">
        <f t="shared" si="46"/>
        <v>4295334.5000057891</v>
      </c>
      <c r="Q191" s="9">
        <v>0</v>
      </c>
      <c r="R191" s="9">
        <v>0</v>
      </c>
      <c r="S191" s="9">
        <f>MAX(0,MIN(Параметры!$C$26-M191,T190))</f>
        <v>1083597.0991318119</v>
      </c>
      <c r="T191" s="9">
        <f t="shared" si="47"/>
        <v>11609591.273239618</v>
      </c>
      <c r="U191" s="9">
        <f t="shared" si="48"/>
        <v>2076399.6572934049</v>
      </c>
      <c r="V191" s="9">
        <f t="shared" si="41"/>
        <v>118374136.61352496</v>
      </c>
    </row>
    <row r="192" spans="1:22" x14ac:dyDescent="0.25">
      <c r="A192" s="11">
        <v>191</v>
      </c>
      <c r="B192" s="11" t="s">
        <v>253</v>
      </c>
      <c r="C192" s="12" t="s">
        <v>73</v>
      </c>
      <c r="D192" s="13">
        <f>Параметры!$C$4*Параметры!$C$7*(1+Параметры!$C$8)^INT((A192-Параметры!$C$11-1)/12)</f>
        <v>9044488.5784021113</v>
      </c>
      <c r="E192" s="13">
        <f>D192/(1+Параметры!$C$13)</f>
        <v>7537073.8153350931</v>
      </c>
      <c r="F192" s="13">
        <f t="shared" si="42"/>
        <v>1507414.7630670182</v>
      </c>
      <c r="G192" s="13">
        <f>IF(AND(A192&gt;Параметры!$C$11,A192&lt;=Параметры!$C$11+3),Параметры!$C$28,0)</f>
        <v>0</v>
      </c>
      <c r="H192" s="13">
        <f t="shared" si="43"/>
        <v>1507414.7630670182</v>
      </c>
      <c r="I192" s="13">
        <f>E192*Параметры!$C$16</f>
        <v>1130561.0723002639</v>
      </c>
      <c r="J192" s="13">
        <f>Параметры!$C$27</f>
        <v>260416.66666666666</v>
      </c>
      <c r="K192" s="13">
        <f>MAX(0,Параметры!$C$20-Параметры!$C$27*MAX(0,A192-Параметры!$C$11-1))*Параметры!$C$15/12</f>
        <v>143229.16666666666</v>
      </c>
      <c r="L192" s="13">
        <f t="shared" si="44"/>
        <v>6002866.9097014954</v>
      </c>
      <c r="M192" s="13">
        <f>T191*Параметры!$C$10/12</f>
        <v>145119.89091549523</v>
      </c>
      <c r="N192" s="13">
        <f t="shared" si="45"/>
        <v>5857747.0187860001</v>
      </c>
      <c r="O192" s="13">
        <f>MAX(0,N192*Параметры!$C$14)</f>
        <v>1171549.4037572001</v>
      </c>
      <c r="P192" s="13">
        <f t="shared" si="46"/>
        <v>4686197.6150288004</v>
      </c>
      <c r="Q192" s="13">
        <v>0</v>
      </c>
      <c r="R192" s="13">
        <v>0</v>
      </c>
      <c r="S192" s="13">
        <f>MAX(0,MIN(Параметры!$C$26-M192,T191))</f>
        <v>1097142.0628709593</v>
      </c>
      <c r="T192" s="13">
        <f t="shared" si="47"/>
        <v>10512449.210368659</v>
      </c>
      <c r="U192" s="13">
        <f t="shared" si="48"/>
        <v>2342057.4557574899</v>
      </c>
      <c r="V192" s="13">
        <f t="shared" si="41"/>
        <v>120716194.06928244</v>
      </c>
    </row>
    <row r="193" spans="1:22" x14ac:dyDescent="0.25">
      <c r="A193" s="14">
        <v>192</v>
      </c>
      <c r="B193" s="14" t="s">
        <v>254</v>
      </c>
      <c r="C193" s="15" t="s">
        <v>73</v>
      </c>
      <c r="D193" s="9">
        <f>Параметры!$C$4*Параметры!$C$7*(1+Параметры!$C$8)^INT((A193-Параметры!$C$11-1)/12)</f>
        <v>9044488.5784021113</v>
      </c>
      <c r="E193" s="9">
        <f>D193/(1+Параметры!$C$13)</f>
        <v>7537073.8153350931</v>
      </c>
      <c r="F193" s="9">
        <f t="shared" si="42"/>
        <v>1507414.7630670182</v>
      </c>
      <c r="G193" s="9">
        <f>IF(AND(A193&gt;Параметры!$C$11,A193&lt;=Параметры!$C$11+3),Параметры!$C$28,0)</f>
        <v>0</v>
      </c>
      <c r="H193" s="9">
        <f t="shared" si="43"/>
        <v>1507414.7630670182</v>
      </c>
      <c r="I193" s="9">
        <f>E193*Параметры!$C$16</f>
        <v>1130561.0723002639</v>
      </c>
      <c r="J193" s="9">
        <f>Параметры!$C$27</f>
        <v>260416.66666666666</v>
      </c>
      <c r="K193" s="9">
        <f>MAX(0,Параметры!$C$20-Параметры!$C$27*MAX(0,A193-Параметры!$C$11-1))*Параметры!$C$15/12</f>
        <v>142751.73611111112</v>
      </c>
      <c r="L193" s="9">
        <f t="shared" si="44"/>
        <v>6003344.3402570514</v>
      </c>
      <c r="M193" s="9">
        <f>T192*Параметры!$C$10/12</f>
        <v>131405.61512960822</v>
      </c>
      <c r="N193" s="9">
        <f t="shared" si="45"/>
        <v>5871938.7251274427</v>
      </c>
      <c r="O193" s="9">
        <f>MAX(0,N193*Параметры!$C$14)</f>
        <v>1174387.7450254885</v>
      </c>
      <c r="P193" s="9">
        <f t="shared" si="46"/>
        <v>4697550.9801019542</v>
      </c>
      <c r="Q193" s="9">
        <v>0</v>
      </c>
      <c r="R193" s="9">
        <v>0</v>
      </c>
      <c r="S193" s="9">
        <f>MAX(0,MIN(Параметры!$C$26-M193,T192))</f>
        <v>1110856.3386568464</v>
      </c>
      <c r="T193" s="9">
        <f t="shared" si="47"/>
        <v>9401592.8717118129</v>
      </c>
      <c r="U193" s="9">
        <f t="shared" si="48"/>
        <v>2339696.5450447565</v>
      </c>
      <c r="V193" s="9">
        <f t="shared" si="41"/>
        <v>123055890.61432719</v>
      </c>
    </row>
    <row r="194" spans="1:22" x14ac:dyDescent="0.25">
      <c r="A194" s="11">
        <v>193</v>
      </c>
      <c r="B194" s="11" t="s">
        <v>255</v>
      </c>
      <c r="C194" s="12" t="s">
        <v>73</v>
      </c>
      <c r="D194" s="13">
        <f>Параметры!$C$4*Параметры!$C$7*(1+Параметры!$C$8)^INT((A194-Параметры!$C$11-1)/12)</f>
        <v>9044488.5784021113</v>
      </c>
      <c r="E194" s="13">
        <f>D194/(1+Параметры!$C$13)</f>
        <v>7537073.8153350931</v>
      </c>
      <c r="F194" s="13">
        <f t="shared" si="42"/>
        <v>1507414.7630670182</v>
      </c>
      <c r="G194" s="13">
        <f>IF(AND(A194&gt;Параметры!$C$11,A194&lt;=Параметры!$C$11+3),Параметры!$C$28,0)</f>
        <v>0</v>
      </c>
      <c r="H194" s="13">
        <f t="shared" si="43"/>
        <v>1507414.7630670182</v>
      </c>
      <c r="I194" s="13">
        <f>E194*Параметры!$C$16</f>
        <v>1130561.0723002639</v>
      </c>
      <c r="J194" s="13">
        <f>Параметры!$C$27</f>
        <v>260416.66666666666</v>
      </c>
      <c r="K194" s="13">
        <f>MAX(0,Параметры!$C$20-Параметры!$C$27*MAX(0,A194-Параметры!$C$11-1))*Параметры!$C$15/12</f>
        <v>142274.30555555556</v>
      </c>
      <c r="L194" s="13">
        <f t="shared" si="44"/>
        <v>6003821.7708126064</v>
      </c>
      <c r="M194" s="13">
        <f>T193*Параметры!$C$10/12</f>
        <v>117519.91089639766</v>
      </c>
      <c r="N194" s="13">
        <f t="shared" si="45"/>
        <v>5886301.8599162083</v>
      </c>
      <c r="O194" s="13">
        <f>MAX(0,N194*Параметры!$C$14)</f>
        <v>1177260.3719832418</v>
      </c>
      <c r="P194" s="13">
        <f t="shared" si="46"/>
        <v>4709041.487932967</v>
      </c>
      <c r="Q194" s="13">
        <v>0</v>
      </c>
      <c r="R194" s="13">
        <v>0</v>
      </c>
      <c r="S194" s="13">
        <f>MAX(0,MIN(Параметры!$C$26-M194,T193))</f>
        <v>1124742.042890057</v>
      </c>
      <c r="T194" s="13">
        <f t="shared" si="47"/>
        <v>8276850.8288217559</v>
      </c>
      <c r="U194" s="13">
        <f t="shared" si="48"/>
        <v>2337301.3486425588</v>
      </c>
      <c r="V194" s="13">
        <f t="shared" si="41"/>
        <v>125393191.96296975</v>
      </c>
    </row>
    <row r="195" spans="1:22" x14ac:dyDescent="0.25">
      <c r="A195" s="14">
        <v>194</v>
      </c>
      <c r="B195" s="14" t="s">
        <v>256</v>
      </c>
      <c r="C195" s="15" t="s">
        <v>73</v>
      </c>
      <c r="D195" s="9">
        <f>Параметры!$C$4*Параметры!$C$7*(1+Параметры!$C$8)^INT((A195-Параметры!$C$11-1)/12)</f>
        <v>9044488.5784021113</v>
      </c>
      <c r="E195" s="9">
        <f>D195/(1+Параметры!$C$13)</f>
        <v>7537073.8153350931</v>
      </c>
      <c r="F195" s="9">
        <f t="shared" si="42"/>
        <v>1507414.7630670182</v>
      </c>
      <c r="G195" s="9">
        <f>IF(AND(A195&gt;Параметры!$C$11,A195&lt;=Параметры!$C$11+3),Параметры!$C$28,0)</f>
        <v>0</v>
      </c>
      <c r="H195" s="9">
        <f t="shared" si="43"/>
        <v>1507414.7630670182</v>
      </c>
      <c r="I195" s="9">
        <f>E195*Параметры!$C$16</f>
        <v>1130561.0723002639</v>
      </c>
      <c r="J195" s="9">
        <f>Параметры!$C$27</f>
        <v>260416.66666666666</v>
      </c>
      <c r="K195" s="9">
        <f>MAX(0,Параметры!$C$20-Параметры!$C$27*MAX(0,A195-Параметры!$C$11-1))*Параметры!$C$15/12</f>
        <v>141796.875</v>
      </c>
      <c r="L195" s="9">
        <f t="shared" si="44"/>
        <v>6004299.2013681624</v>
      </c>
      <c r="M195" s="9">
        <f>T194*Параметры!$C$10/12</f>
        <v>103460.63536027195</v>
      </c>
      <c r="N195" s="9">
        <f t="shared" si="45"/>
        <v>5900838.5660078907</v>
      </c>
      <c r="O195" s="9">
        <f>MAX(0,N195*Параметры!$C$14)</f>
        <v>1180167.7132015782</v>
      </c>
      <c r="P195" s="9">
        <f t="shared" si="46"/>
        <v>4720670.852806313</v>
      </c>
      <c r="Q195" s="9">
        <v>0</v>
      </c>
      <c r="R195" s="9">
        <v>0</v>
      </c>
      <c r="S195" s="9">
        <f>MAX(0,MIN(Параметры!$C$26-M195,T194))</f>
        <v>1138801.3184261827</v>
      </c>
      <c r="T195" s="9">
        <f t="shared" si="47"/>
        <v>7138049.5103955735</v>
      </c>
      <c r="U195" s="9">
        <f t="shared" si="48"/>
        <v>2334871.4379797792</v>
      </c>
      <c r="V195" s="9">
        <f t="shared" ref="V195:V226" si="49">V194+U195</f>
        <v>127728063.40094952</v>
      </c>
    </row>
    <row r="196" spans="1:22" x14ac:dyDescent="0.25">
      <c r="A196" s="11">
        <v>195</v>
      </c>
      <c r="B196" s="11" t="s">
        <v>257</v>
      </c>
      <c r="C196" s="12" t="s">
        <v>73</v>
      </c>
      <c r="D196" s="13">
        <f>Параметры!$C$4*Параметры!$C$7*(1+Параметры!$C$8)^INT((A196-Параметры!$C$11-1)/12)</f>
        <v>9044488.5784021113</v>
      </c>
      <c r="E196" s="13">
        <f>D196/(1+Параметры!$C$13)</f>
        <v>7537073.8153350931</v>
      </c>
      <c r="F196" s="13">
        <f t="shared" si="42"/>
        <v>1507414.7630670182</v>
      </c>
      <c r="G196" s="13">
        <f>IF(AND(A196&gt;Параметры!$C$11,A196&lt;=Параметры!$C$11+3),Параметры!$C$28,0)</f>
        <v>0</v>
      </c>
      <c r="H196" s="13">
        <f t="shared" si="43"/>
        <v>1507414.7630670182</v>
      </c>
      <c r="I196" s="13">
        <f>E196*Параметры!$C$16</f>
        <v>1130561.0723002639</v>
      </c>
      <c r="J196" s="13">
        <f>Параметры!$C$27</f>
        <v>260416.66666666666</v>
      </c>
      <c r="K196" s="13">
        <f>MAX(0,Параметры!$C$20-Параметры!$C$27*MAX(0,A196-Параметры!$C$11-1))*Параметры!$C$15/12</f>
        <v>141319.44444444447</v>
      </c>
      <c r="L196" s="13">
        <f t="shared" si="44"/>
        <v>6004776.6319237184</v>
      </c>
      <c r="M196" s="13">
        <f>T195*Параметры!$C$10/12</f>
        <v>89225.618879944668</v>
      </c>
      <c r="N196" s="13">
        <f t="shared" si="45"/>
        <v>5915551.0130437734</v>
      </c>
      <c r="O196" s="13">
        <f>MAX(0,N196*Параметры!$C$14)</f>
        <v>1183110.2026087546</v>
      </c>
      <c r="P196" s="13">
        <f t="shared" si="46"/>
        <v>4732440.8104350185</v>
      </c>
      <c r="Q196" s="13">
        <v>0</v>
      </c>
      <c r="R196" s="13">
        <v>0</v>
      </c>
      <c r="S196" s="13">
        <f>MAX(0,MIN(Параметры!$C$26-M196,T195))</f>
        <v>1153036.3349065101</v>
      </c>
      <c r="T196" s="13">
        <f t="shared" si="47"/>
        <v>5985013.1754890634</v>
      </c>
      <c r="U196" s="13">
        <f t="shared" si="48"/>
        <v>2332406.3791281572</v>
      </c>
      <c r="V196" s="13">
        <f t="shared" si="49"/>
        <v>130060469.78007768</v>
      </c>
    </row>
    <row r="197" spans="1:22" x14ac:dyDescent="0.25">
      <c r="A197" s="14">
        <v>196</v>
      </c>
      <c r="B197" s="14" t="s">
        <v>258</v>
      </c>
      <c r="C197" s="15" t="s">
        <v>73</v>
      </c>
      <c r="D197" s="9">
        <f>Параметры!$C$4*Параметры!$C$7*(1+Параметры!$C$8)^INT((A197-Параметры!$C$11-1)/12)</f>
        <v>9044488.5784021113</v>
      </c>
      <c r="E197" s="9">
        <f>D197/(1+Параметры!$C$13)</f>
        <v>7537073.8153350931</v>
      </c>
      <c r="F197" s="9">
        <f t="shared" si="42"/>
        <v>1507414.7630670182</v>
      </c>
      <c r="G197" s="9">
        <f>IF(AND(A197&gt;Параметры!$C$11,A197&lt;=Параметры!$C$11+3),Параметры!$C$28,0)</f>
        <v>0</v>
      </c>
      <c r="H197" s="9">
        <f t="shared" si="43"/>
        <v>1507414.7630670182</v>
      </c>
      <c r="I197" s="9">
        <f>E197*Параметры!$C$16</f>
        <v>1130561.0723002639</v>
      </c>
      <c r="J197" s="9">
        <f>Параметры!$C$27</f>
        <v>260416.66666666666</v>
      </c>
      <c r="K197" s="9">
        <f>MAX(0,Параметры!$C$20-Параметры!$C$27*MAX(0,A197-Параметры!$C$11-1))*Параметры!$C$15/12</f>
        <v>140842.01388888891</v>
      </c>
      <c r="L197" s="9">
        <f t="shared" si="44"/>
        <v>6005254.0624792734</v>
      </c>
      <c r="M197" s="9">
        <f>T196*Параметры!$C$10/12</f>
        <v>74812.664693613289</v>
      </c>
      <c r="N197" s="9">
        <f t="shared" si="45"/>
        <v>5930441.3977856599</v>
      </c>
      <c r="O197" s="9">
        <f>MAX(0,N197*Параметры!$C$14)</f>
        <v>1186088.2795571319</v>
      </c>
      <c r="P197" s="9">
        <f t="shared" si="46"/>
        <v>4744353.1182285277</v>
      </c>
      <c r="Q197" s="9">
        <v>0</v>
      </c>
      <c r="R197" s="9">
        <v>0</v>
      </c>
      <c r="S197" s="9">
        <f>MAX(0,MIN(Параметры!$C$26-M197,T196))</f>
        <v>1167449.2890928413</v>
      </c>
      <c r="T197" s="9">
        <f t="shared" si="47"/>
        <v>4817563.8863962218</v>
      </c>
      <c r="U197" s="9">
        <f t="shared" si="48"/>
        <v>2329905.7327353349</v>
      </c>
      <c r="V197" s="9">
        <f t="shared" si="49"/>
        <v>132390375.51281302</v>
      </c>
    </row>
    <row r="198" spans="1:22" x14ac:dyDescent="0.25">
      <c r="A198" s="11">
        <v>197</v>
      </c>
      <c r="B198" s="11" t="s">
        <v>259</v>
      </c>
      <c r="C198" s="12" t="s">
        <v>73</v>
      </c>
      <c r="D198" s="13">
        <f>Параметры!$C$4*Параметры!$C$7*(1+Параметры!$C$8)^INT((A198-Параметры!$C$11-1)/12)</f>
        <v>9044488.5784021113</v>
      </c>
      <c r="E198" s="13">
        <f>D198/(1+Параметры!$C$13)</f>
        <v>7537073.8153350931</v>
      </c>
      <c r="F198" s="13">
        <f t="shared" si="42"/>
        <v>1507414.7630670182</v>
      </c>
      <c r="G198" s="13">
        <f>IF(AND(A198&gt;Параметры!$C$11,A198&lt;=Параметры!$C$11+3),Параметры!$C$28,0)</f>
        <v>0</v>
      </c>
      <c r="H198" s="13">
        <f t="shared" si="43"/>
        <v>1507414.7630670182</v>
      </c>
      <c r="I198" s="13">
        <f>E198*Параметры!$C$16</f>
        <v>1130561.0723002639</v>
      </c>
      <c r="J198" s="13">
        <f>Параметры!$C$27</f>
        <v>260416.66666666666</v>
      </c>
      <c r="K198" s="13">
        <f>MAX(0,Параметры!$C$20-Параметры!$C$27*MAX(0,A198-Параметры!$C$11-1))*Параметры!$C$15/12</f>
        <v>140364.58333333334</v>
      </c>
      <c r="L198" s="13">
        <f t="shared" si="44"/>
        <v>6005731.4930348294</v>
      </c>
      <c r="M198" s="13">
        <f>T197*Параметры!$C$10/12</f>
        <v>60219.548579952767</v>
      </c>
      <c r="N198" s="13">
        <f t="shared" si="45"/>
        <v>5945511.9444548767</v>
      </c>
      <c r="O198" s="13">
        <f>MAX(0,N198*Параметры!$C$14)</f>
        <v>1189102.3888909754</v>
      </c>
      <c r="P198" s="13">
        <f t="shared" si="46"/>
        <v>4756409.5555639016</v>
      </c>
      <c r="Q198" s="13">
        <v>0</v>
      </c>
      <c r="R198" s="13">
        <v>0</v>
      </c>
      <c r="S198" s="13">
        <f>MAX(0,MIN(Параметры!$C$26-M198,T197))</f>
        <v>1182042.4052065019</v>
      </c>
      <c r="T198" s="13">
        <f t="shared" si="47"/>
        <v>3635521.4811897199</v>
      </c>
      <c r="U198" s="13">
        <f t="shared" si="48"/>
        <v>2327369.0539570483</v>
      </c>
      <c r="V198" s="13">
        <f t="shared" si="49"/>
        <v>134717744.56677008</v>
      </c>
    </row>
    <row r="199" spans="1:22" x14ac:dyDescent="0.25">
      <c r="A199" s="14">
        <v>198</v>
      </c>
      <c r="B199" s="14" t="s">
        <v>260</v>
      </c>
      <c r="C199" s="15" t="s">
        <v>73</v>
      </c>
      <c r="D199" s="9">
        <f>Параметры!$C$4*Параметры!$C$7*(1+Параметры!$C$8)^INT((A199-Параметры!$C$11-1)/12)</f>
        <v>9044488.5784021113</v>
      </c>
      <c r="E199" s="9">
        <f>D199/(1+Параметры!$C$13)</f>
        <v>7537073.8153350931</v>
      </c>
      <c r="F199" s="9">
        <f t="shared" si="42"/>
        <v>1507414.7630670182</v>
      </c>
      <c r="G199" s="9">
        <f>IF(AND(A199&gt;Параметры!$C$11,A199&lt;=Параметры!$C$11+3),Параметры!$C$28,0)</f>
        <v>0</v>
      </c>
      <c r="H199" s="9">
        <f t="shared" si="43"/>
        <v>1507414.7630670182</v>
      </c>
      <c r="I199" s="9">
        <f>E199*Параметры!$C$16</f>
        <v>1130561.0723002639</v>
      </c>
      <c r="J199" s="9">
        <f>Параметры!$C$27</f>
        <v>260416.66666666666</v>
      </c>
      <c r="K199" s="9">
        <f>MAX(0,Параметры!$C$20-Параметры!$C$27*MAX(0,A199-Параметры!$C$11-1))*Параметры!$C$15/12</f>
        <v>139887.15277777778</v>
      </c>
      <c r="L199" s="9">
        <f t="shared" si="44"/>
        <v>6006208.9235903844</v>
      </c>
      <c r="M199" s="9">
        <f>T198*Параметры!$C$10/12</f>
        <v>45444.018514871503</v>
      </c>
      <c r="N199" s="9">
        <f t="shared" si="45"/>
        <v>5960764.9050755128</v>
      </c>
      <c r="O199" s="9">
        <f>MAX(0,N199*Параметры!$C$14)</f>
        <v>1192152.9810151027</v>
      </c>
      <c r="P199" s="9">
        <f t="shared" si="46"/>
        <v>4768611.9240604099</v>
      </c>
      <c r="Q199" s="9">
        <v>0</v>
      </c>
      <c r="R199" s="9">
        <v>0</v>
      </c>
      <c r="S199" s="9">
        <f>MAX(0,MIN(Параметры!$C$26-M199,T198))</f>
        <v>1196817.935271583</v>
      </c>
      <c r="T199" s="9">
        <f t="shared" si="47"/>
        <v>2438703.5459181368</v>
      </c>
      <c r="U199" s="9">
        <f t="shared" si="48"/>
        <v>2324795.8923884756</v>
      </c>
      <c r="V199" s="9">
        <f t="shared" si="49"/>
        <v>137042540.45915854</v>
      </c>
    </row>
    <row r="200" spans="1:22" x14ac:dyDescent="0.25">
      <c r="A200" s="11">
        <v>199</v>
      </c>
      <c r="B200" s="11" t="s">
        <v>261</v>
      </c>
      <c r="C200" s="12" t="s">
        <v>73</v>
      </c>
      <c r="D200" s="13">
        <f>Параметры!$C$4*Параметры!$C$7*(1+Параметры!$C$8)^INT((A200-Параметры!$C$11-1)/12)</f>
        <v>9044488.5784021113</v>
      </c>
      <c r="E200" s="13">
        <f>D200/(1+Параметры!$C$13)</f>
        <v>7537073.8153350931</v>
      </c>
      <c r="F200" s="13">
        <f t="shared" si="42"/>
        <v>1507414.7630670182</v>
      </c>
      <c r="G200" s="13">
        <f>IF(AND(A200&gt;Параметры!$C$11,A200&lt;=Параметры!$C$11+3),Параметры!$C$28,0)</f>
        <v>0</v>
      </c>
      <c r="H200" s="13">
        <f t="shared" si="43"/>
        <v>1507414.7630670182</v>
      </c>
      <c r="I200" s="13">
        <f>E200*Параметры!$C$16</f>
        <v>1130561.0723002639</v>
      </c>
      <c r="J200" s="13">
        <f>Параметры!$C$27</f>
        <v>260416.66666666666</v>
      </c>
      <c r="K200" s="13">
        <f>MAX(0,Параметры!$C$20-Параметры!$C$27*MAX(0,A200-Параметры!$C$11-1))*Параметры!$C$15/12</f>
        <v>139409.72222222222</v>
      </c>
      <c r="L200" s="13">
        <f t="shared" si="44"/>
        <v>6006686.3541459404</v>
      </c>
      <c r="M200" s="13">
        <f>T199*Параметры!$C$10/12</f>
        <v>30483.794323976708</v>
      </c>
      <c r="N200" s="13">
        <f t="shared" si="45"/>
        <v>5976202.5598219633</v>
      </c>
      <c r="O200" s="13">
        <f>MAX(0,N200*Параметры!$C$14)</f>
        <v>1195240.5119643926</v>
      </c>
      <c r="P200" s="13">
        <f t="shared" si="46"/>
        <v>4780962.0478575705</v>
      </c>
      <c r="Q200" s="13">
        <v>0</v>
      </c>
      <c r="R200" s="13">
        <v>0</v>
      </c>
      <c r="S200" s="13">
        <f>MAX(0,MIN(Параметры!$C$26-M200,T199))</f>
        <v>1211778.159462478</v>
      </c>
      <c r="T200" s="13">
        <f t="shared" si="47"/>
        <v>1226925.3864556588</v>
      </c>
      <c r="U200" s="13">
        <f t="shared" si="48"/>
        <v>2322185.7919947412</v>
      </c>
      <c r="V200" s="13">
        <f t="shared" si="49"/>
        <v>139364726.25115329</v>
      </c>
    </row>
    <row r="201" spans="1:22" x14ac:dyDescent="0.25">
      <c r="A201" s="14">
        <v>200</v>
      </c>
      <c r="B201" s="14" t="s">
        <v>262</v>
      </c>
      <c r="C201" s="15" t="s">
        <v>73</v>
      </c>
      <c r="D201" s="9">
        <f>Параметры!$C$4*Параметры!$C$7*(1+Параметры!$C$8)^INT((A201-Параметры!$C$11-1)/12)</f>
        <v>9044488.5784021113</v>
      </c>
      <c r="E201" s="9">
        <f>D201/(1+Параметры!$C$13)</f>
        <v>7537073.8153350931</v>
      </c>
      <c r="F201" s="9">
        <f t="shared" si="42"/>
        <v>1507414.7630670182</v>
      </c>
      <c r="G201" s="9">
        <f>IF(AND(A201&gt;Параметры!$C$11,A201&lt;=Параметры!$C$11+3),Параметры!$C$28,0)</f>
        <v>0</v>
      </c>
      <c r="H201" s="9">
        <f t="shared" si="43"/>
        <v>1507414.7630670182</v>
      </c>
      <c r="I201" s="9">
        <f>E201*Параметры!$C$16</f>
        <v>1130561.0723002639</v>
      </c>
      <c r="J201" s="9">
        <f>Параметры!$C$27</f>
        <v>260416.66666666666</v>
      </c>
      <c r="K201" s="9">
        <f>MAX(0,Параметры!$C$20-Параметры!$C$27*MAX(0,A201-Параметры!$C$11-1))*Параметры!$C$15/12</f>
        <v>138932.29166666666</v>
      </c>
      <c r="L201" s="9">
        <f t="shared" si="44"/>
        <v>6007163.7847014954</v>
      </c>
      <c r="M201" s="9">
        <f>T200*Параметры!$C$10/12</f>
        <v>15336.567330695734</v>
      </c>
      <c r="N201" s="9">
        <f t="shared" si="45"/>
        <v>5991827.2173707997</v>
      </c>
      <c r="O201" s="9">
        <f>MAX(0,N201*Параметры!$C$14)</f>
        <v>1198365.44347416</v>
      </c>
      <c r="P201" s="9">
        <f t="shared" si="46"/>
        <v>4793461.7738966402</v>
      </c>
      <c r="Q201" s="9">
        <v>0</v>
      </c>
      <c r="R201" s="9">
        <v>0</v>
      </c>
      <c r="S201" s="9">
        <f>MAX(0,MIN(Параметры!$C$26-M201,T200))</f>
        <v>1226925.3864556588</v>
      </c>
      <c r="T201" s="9">
        <f t="shared" si="47"/>
        <v>0</v>
      </c>
      <c r="U201" s="9">
        <f t="shared" si="48"/>
        <v>2319538.2910406301</v>
      </c>
      <c r="V201" s="9">
        <f t="shared" si="49"/>
        <v>141684264.54219392</v>
      </c>
    </row>
    <row r="202" spans="1:22" x14ac:dyDescent="0.25">
      <c r="A202" s="16" t="s">
        <v>263</v>
      </c>
      <c r="C202" s="17">
        <f t="shared" ref="C202:V202" si="50">SUM(C2:C201)</f>
        <v>0</v>
      </c>
      <c r="D202" s="17">
        <f t="shared" si="50"/>
        <v>1019438172.5443394</v>
      </c>
      <c r="E202" s="17">
        <f t="shared" si="50"/>
        <v>849531810.45361292</v>
      </c>
      <c r="F202" s="17">
        <f t="shared" si="50"/>
        <v>169906362.09072244</v>
      </c>
      <c r="G202" s="17">
        <f t="shared" si="50"/>
        <v>25000000</v>
      </c>
      <c r="H202" s="17">
        <f t="shared" si="50"/>
        <v>144906362.09072256</v>
      </c>
      <c r="I202" s="17">
        <f t="shared" si="50"/>
        <v>127429771.56804243</v>
      </c>
      <c r="J202" s="17">
        <f t="shared" si="50"/>
        <v>49479166.666666575</v>
      </c>
      <c r="K202" s="17">
        <f t="shared" si="50"/>
        <v>34969401.041666664</v>
      </c>
      <c r="L202" s="17">
        <f t="shared" si="50"/>
        <v>637653471.1772387</v>
      </c>
      <c r="M202" s="17">
        <f t="shared" si="50"/>
        <v>152217271.21942636</v>
      </c>
      <c r="N202" s="17">
        <f t="shared" si="50"/>
        <v>485436199.95781249</v>
      </c>
      <c r="O202" s="17">
        <f t="shared" si="50"/>
        <v>98324739.991562515</v>
      </c>
      <c r="P202" s="17">
        <f t="shared" si="50"/>
        <v>393298959.96625006</v>
      </c>
      <c r="Q202" s="17">
        <f t="shared" si="50"/>
        <v>150000000</v>
      </c>
      <c r="R202" s="17">
        <f t="shared" si="50"/>
        <v>90000000</v>
      </c>
      <c r="S202" s="17">
        <f t="shared" si="50"/>
        <v>89999999.99999994</v>
      </c>
      <c r="T202" s="17">
        <f t="shared" si="50"/>
        <v>12087381697.554102</v>
      </c>
      <c r="U202" s="17">
        <f t="shared" si="50"/>
        <v>141684264.54219392</v>
      </c>
      <c r="V202" s="17">
        <f t="shared" si="50"/>
        <v>1992481277.808532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5"/>
  <sheetViews>
    <sheetView workbookViewId="0">
      <selection activeCell="C9" sqref="C9"/>
    </sheetView>
  </sheetViews>
  <sheetFormatPr defaultRowHeight="15" x14ac:dyDescent="0.25"/>
  <cols>
    <col min="1" max="1" width="44" customWidth="1"/>
    <col min="2" max="2" width="22" customWidth="1"/>
    <col min="3" max="3" width="20" customWidth="1"/>
  </cols>
  <sheetData>
    <row r="1" spans="1:3" ht="24" customHeight="1" x14ac:dyDescent="0.25">
      <c r="A1" s="24" t="s">
        <v>264</v>
      </c>
      <c r="B1" s="25"/>
      <c r="C1" s="25"/>
    </row>
    <row r="2" spans="1:3" x14ac:dyDescent="0.25">
      <c r="A2" s="8" t="s">
        <v>265</v>
      </c>
      <c r="C2" s="18" t="str">
        <f>Параметры!$C$2</f>
        <v>Sklad_160</v>
      </c>
    </row>
    <row r="3" spans="1:3" x14ac:dyDescent="0.25">
      <c r="A3" s="8" t="s">
        <v>266</v>
      </c>
      <c r="C3" s="18" t="str">
        <f>Параметры!$C$3</f>
        <v>2026-07</v>
      </c>
    </row>
    <row r="4" spans="1:3" x14ac:dyDescent="0.25">
      <c r="A4" s="8" t="s">
        <v>18</v>
      </c>
      <c r="C4" s="18" t="str">
        <f>Параметры!$C$12&amp;" мес."</f>
        <v>200 мес.</v>
      </c>
    </row>
    <row r="5" spans="1:3" x14ac:dyDescent="0.25">
      <c r="A5" s="24" t="s">
        <v>267</v>
      </c>
      <c r="B5" s="25"/>
      <c r="C5" s="25"/>
    </row>
    <row r="6" spans="1:3" x14ac:dyDescent="0.25">
      <c r="A6" s="19" t="s">
        <v>268</v>
      </c>
      <c r="B6" s="20" t="s">
        <v>9</v>
      </c>
      <c r="C6" s="21">
        <f>NPV(Параметры!$C$9/12,'Денежные потоки'!U2:U201)</f>
        <v>-1794052.8648988889</v>
      </c>
    </row>
    <row r="7" spans="1:3" x14ac:dyDescent="0.25">
      <c r="A7" s="19" t="s">
        <v>269</v>
      </c>
      <c r="B7" s="20" t="s">
        <v>270</v>
      </c>
      <c r="C7" s="22">
        <f>IFERROR((1+IRR('Денежные потоки'!U2:U201))^12-1,"Н/Д")</f>
        <v>0.14416084084173941</v>
      </c>
    </row>
    <row r="8" spans="1:3" x14ac:dyDescent="0.25">
      <c r="A8" s="19" t="s">
        <v>271</v>
      </c>
      <c r="B8" s="20" t="s">
        <v>270</v>
      </c>
      <c r="C8" s="22">
        <f>IFERROR(SUM('Денежные потоки'!P2:P201)/Параметры!$C$23,"Н/Д")</f>
        <v>6.5549826661041681</v>
      </c>
    </row>
    <row r="9" spans="1:3" x14ac:dyDescent="0.25">
      <c r="A9" s="19" t="s">
        <v>272</v>
      </c>
      <c r="B9" s="20" t="s">
        <v>17</v>
      </c>
      <c r="C9" s="27" cm="1">
        <f t="array" ref="C9">MATCH(TRUE,'Денежные потоки'!V2:V201&gt;=0,0)</f>
        <v>113</v>
      </c>
    </row>
    <row r="10" spans="1:3" x14ac:dyDescent="0.25">
      <c r="A10" s="19" t="s">
        <v>273</v>
      </c>
      <c r="B10" s="20" t="s">
        <v>270</v>
      </c>
      <c r="C10" s="22">
        <f>Параметры!$C$9</f>
        <v>0.14000000000000001</v>
      </c>
    </row>
    <row r="11" spans="1:3" x14ac:dyDescent="0.25">
      <c r="A11" s="24" t="s">
        <v>274</v>
      </c>
      <c r="B11" s="25"/>
      <c r="C11" s="25"/>
    </row>
    <row r="12" spans="1:3" x14ac:dyDescent="0.25">
      <c r="A12" s="15" t="s">
        <v>275</v>
      </c>
      <c r="B12" s="15" t="s">
        <v>9</v>
      </c>
      <c r="C12" s="9">
        <f>SUM('Денежные потоки'!D2:D201)</f>
        <v>1019438172.5443394</v>
      </c>
    </row>
    <row r="13" spans="1:3" x14ac:dyDescent="0.25">
      <c r="A13" s="15" t="s">
        <v>276</v>
      </c>
      <c r="B13" s="15" t="s">
        <v>9</v>
      </c>
      <c r="C13" s="9">
        <f>SUM('Денежные потоки'!E2:E201)</f>
        <v>849531810.45361292</v>
      </c>
    </row>
    <row r="14" spans="1:3" x14ac:dyDescent="0.25">
      <c r="A14" s="15" t="s">
        <v>23</v>
      </c>
      <c r="B14" s="15" t="s">
        <v>9</v>
      </c>
      <c r="C14" s="9">
        <f>SUM('Денежные потоки'!I2:I201)</f>
        <v>127429771.56804243</v>
      </c>
    </row>
    <row r="15" spans="1:3" x14ac:dyDescent="0.25">
      <c r="A15" s="15" t="s">
        <v>277</v>
      </c>
      <c r="B15" s="15" t="s">
        <v>9</v>
      </c>
      <c r="C15" s="9">
        <f>SUM('Денежные потоки'!P2:P201)</f>
        <v>393298959.96625006</v>
      </c>
    </row>
    <row r="16" spans="1:3" x14ac:dyDescent="0.25">
      <c r="A16" s="24" t="s">
        <v>278</v>
      </c>
      <c r="B16" s="25"/>
      <c r="C16" s="25"/>
    </row>
    <row r="17" spans="1:3" x14ac:dyDescent="0.25">
      <c r="A17" s="15" t="s">
        <v>53</v>
      </c>
      <c r="B17" s="15" t="s">
        <v>9</v>
      </c>
      <c r="C17" s="9">
        <f>SUM('Денежные потоки'!O2:O201)</f>
        <v>98324739.991562515</v>
      </c>
    </row>
    <row r="18" spans="1:3" x14ac:dyDescent="0.25">
      <c r="A18" s="15" t="s">
        <v>279</v>
      </c>
      <c r="B18" s="15" t="s">
        <v>9</v>
      </c>
      <c r="C18" s="9">
        <f>SUMIF('Денежные потоки'!H2:H201,"&gt;0",'Денежные потоки'!H2:H201)</f>
        <v>168480762.09072244</v>
      </c>
    </row>
    <row r="19" spans="1:3" x14ac:dyDescent="0.25">
      <c r="A19" s="15" t="s">
        <v>280</v>
      </c>
      <c r="B19" s="15" t="s">
        <v>9</v>
      </c>
      <c r="C19" s="9">
        <f>SUM('Денежные потоки'!G2:G201)</f>
        <v>25000000</v>
      </c>
    </row>
    <row r="20" spans="1:3" x14ac:dyDescent="0.25">
      <c r="A20" s="15" t="s">
        <v>281</v>
      </c>
      <c r="B20" s="15" t="s">
        <v>9</v>
      </c>
      <c r="C20" s="9">
        <f>SUM('Денежные потоки'!K2:K201)</f>
        <v>34969401.041666664</v>
      </c>
    </row>
    <row r="21" spans="1:3" x14ac:dyDescent="0.25">
      <c r="A21" s="15" t="s">
        <v>282</v>
      </c>
      <c r="B21" s="15" t="s">
        <v>9</v>
      </c>
      <c r="C21" s="9">
        <f>SUM('Денежные потоки'!M2:M201)</f>
        <v>152217271.21942636</v>
      </c>
    </row>
    <row r="22" spans="1:3" x14ac:dyDescent="0.25">
      <c r="A22" s="24" t="s">
        <v>283</v>
      </c>
      <c r="B22" s="25"/>
      <c r="C22" s="25"/>
    </row>
    <row r="23" spans="1:3" x14ac:dyDescent="0.25">
      <c r="A23" s="15" t="s">
        <v>32</v>
      </c>
      <c r="B23" s="15" t="s">
        <v>9</v>
      </c>
      <c r="C23" s="9">
        <f>Параметры!$C$23</f>
        <v>60000000</v>
      </c>
    </row>
    <row r="24" spans="1:3" x14ac:dyDescent="0.25">
      <c r="A24" s="15" t="s">
        <v>284</v>
      </c>
      <c r="B24" s="15" t="s">
        <v>9</v>
      </c>
      <c r="C24" s="9">
        <f>Параметры!$C$22</f>
        <v>90000000</v>
      </c>
    </row>
    <row r="25" spans="1:3" x14ac:dyDescent="0.25">
      <c r="A25" s="15" t="s">
        <v>285</v>
      </c>
      <c r="B25" s="15" t="s">
        <v>9</v>
      </c>
      <c r="C25" s="9">
        <f>Параметры!$C$5</f>
        <v>150000000</v>
      </c>
    </row>
  </sheetData>
  <mergeCells count="5">
    <mergeCell ref="A11:C11"/>
    <mergeCell ref="A1:C1"/>
    <mergeCell ref="A5:C5"/>
    <mergeCell ref="A22:C22"/>
    <mergeCell ref="A16:C1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"/>
  <sheetViews>
    <sheetView workbookViewId="0">
      <selection sqref="A1:G1"/>
    </sheetView>
  </sheetViews>
  <sheetFormatPr defaultRowHeight="15" x14ac:dyDescent="0.25"/>
  <cols>
    <col min="1" max="7" width="22" customWidth="1"/>
  </cols>
  <sheetData>
    <row r="1" spans="1:7" x14ac:dyDescent="0.25">
      <c r="A1" s="24" t="s">
        <v>286</v>
      </c>
      <c r="B1" s="25"/>
      <c r="C1" s="25"/>
      <c r="D1" s="25"/>
      <c r="E1" s="25"/>
      <c r="F1" s="25"/>
      <c r="G1" s="25"/>
    </row>
    <row r="2" spans="1:7" x14ac:dyDescent="0.25">
      <c r="A2" s="23" t="s">
        <v>287</v>
      </c>
      <c r="B2" s="23" t="s">
        <v>288</v>
      </c>
      <c r="C2" s="23" t="s">
        <v>289</v>
      </c>
      <c r="D2" s="23" t="s">
        <v>290</v>
      </c>
      <c r="E2" s="23" t="s">
        <v>291</v>
      </c>
      <c r="F2" s="23" t="s">
        <v>292</v>
      </c>
      <c r="G2" s="23" t="s">
        <v>293</v>
      </c>
    </row>
    <row r="3" spans="1:7" x14ac:dyDescent="0.25">
      <c r="A3" s="26" t="s">
        <v>294</v>
      </c>
      <c r="B3" s="25"/>
      <c r="C3" s="25"/>
      <c r="D3" s="25"/>
      <c r="E3" s="25"/>
      <c r="F3" s="25"/>
      <c r="G3" s="25"/>
    </row>
  </sheetData>
  <mergeCells count="2">
    <mergeCell ref="A3:G3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Параметры</vt:lpstr>
      <vt:lpstr>Денежные потоки</vt:lpstr>
      <vt:lpstr>ИТОГ</vt:lpstr>
      <vt:lpstr>Чувствительность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Vladislav Terentev</cp:lastModifiedBy>
  <dcterms:created xsi:type="dcterms:W3CDTF">2026-05-30T08:54:43Z</dcterms:created>
  <dcterms:modified xsi:type="dcterms:W3CDTF">2026-05-30T10:35:58Z</dcterms:modified>
</cp:coreProperties>
</file>