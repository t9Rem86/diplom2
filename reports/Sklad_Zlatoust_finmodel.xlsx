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pGrade\Desktop\diplom2\reports\"/>
    </mc:Choice>
  </mc:AlternateContent>
  <xr:revisionPtr revIDLastSave="0" documentId="13_ncr:1_{D081F59D-1C8B-4A8F-84A9-20A9D4F44B3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Параметры" sheetId="1" r:id="rId1"/>
    <sheet name="Денежные потоки" sheetId="2" r:id="rId2"/>
    <sheet name="ИТОГ" sheetId="3" r:id="rId3"/>
    <sheet name="Чувствительност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 a="1"/>
  <c r="C9" i="3" s="1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C25" i="3"/>
  <c r="C10" i="3"/>
  <c r="C4" i="3"/>
  <c r="C3" i="3"/>
  <c r="C2" i="3"/>
  <c r="C182" i="2"/>
  <c r="I181" i="2"/>
  <c r="G181" i="2"/>
  <c r="F181" i="2"/>
  <c r="H181" i="2" s="1"/>
  <c r="E181" i="2"/>
  <c r="D181" i="2"/>
  <c r="G180" i="2"/>
  <c r="D180" i="2"/>
  <c r="G179" i="2"/>
  <c r="D179" i="2"/>
  <c r="G178" i="2"/>
  <c r="E178" i="2"/>
  <c r="D178" i="2"/>
  <c r="G177" i="2"/>
  <c r="E177" i="2"/>
  <c r="D177" i="2"/>
  <c r="G176" i="2"/>
  <c r="F176" i="2"/>
  <c r="E176" i="2"/>
  <c r="I176" i="2" s="1"/>
  <c r="D176" i="2"/>
  <c r="H175" i="2"/>
  <c r="G175" i="2"/>
  <c r="E175" i="2"/>
  <c r="I175" i="2" s="1"/>
  <c r="D175" i="2"/>
  <c r="F175" i="2" s="1"/>
  <c r="G174" i="2"/>
  <c r="E174" i="2"/>
  <c r="D174" i="2"/>
  <c r="I173" i="2"/>
  <c r="G173" i="2"/>
  <c r="F173" i="2"/>
  <c r="H173" i="2" s="1"/>
  <c r="E173" i="2"/>
  <c r="D173" i="2"/>
  <c r="G172" i="2"/>
  <c r="D172" i="2"/>
  <c r="E172" i="2" s="1"/>
  <c r="G171" i="2"/>
  <c r="D171" i="2"/>
  <c r="G170" i="2"/>
  <c r="D170" i="2"/>
  <c r="I169" i="2"/>
  <c r="G169" i="2"/>
  <c r="F169" i="2"/>
  <c r="H169" i="2" s="1"/>
  <c r="E169" i="2"/>
  <c r="D169" i="2"/>
  <c r="G168" i="2"/>
  <c r="D168" i="2"/>
  <c r="G167" i="2"/>
  <c r="D167" i="2"/>
  <c r="G166" i="2"/>
  <c r="E166" i="2"/>
  <c r="I166" i="2" s="1"/>
  <c r="D166" i="2"/>
  <c r="G165" i="2"/>
  <c r="E165" i="2"/>
  <c r="D165" i="2"/>
  <c r="F165" i="2" s="1"/>
  <c r="H165" i="2" s="1"/>
  <c r="G164" i="2"/>
  <c r="D164" i="2"/>
  <c r="E164" i="2" s="1"/>
  <c r="G163" i="2"/>
  <c r="E163" i="2"/>
  <c r="I163" i="2" s="1"/>
  <c r="D163" i="2"/>
  <c r="F163" i="2" s="1"/>
  <c r="H163" i="2" s="1"/>
  <c r="H162" i="2"/>
  <c r="G162" i="2"/>
  <c r="E162" i="2"/>
  <c r="D162" i="2"/>
  <c r="F162" i="2" s="1"/>
  <c r="I161" i="2"/>
  <c r="G161" i="2"/>
  <c r="F161" i="2"/>
  <c r="H161" i="2" s="1"/>
  <c r="E161" i="2"/>
  <c r="D161" i="2"/>
  <c r="G160" i="2"/>
  <c r="F160" i="2"/>
  <c r="H160" i="2" s="1"/>
  <c r="D160" i="2"/>
  <c r="E160" i="2" s="1"/>
  <c r="G159" i="2"/>
  <c r="D159" i="2"/>
  <c r="G158" i="2"/>
  <c r="D158" i="2"/>
  <c r="I157" i="2"/>
  <c r="G157" i="2"/>
  <c r="F157" i="2"/>
  <c r="H157" i="2" s="1"/>
  <c r="E157" i="2"/>
  <c r="D157" i="2"/>
  <c r="G156" i="2"/>
  <c r="D156" i="2"/>
  <c r="G155" i="2"/>
  <c r="D155" i="2"/>
  <c r="I154" i="2"/>
  <c r="G154" i="2"/>
  <c r="E154" i="2"/>
  <c r="D154" i="2"/>
  <c r="F154" i="2" s="1"/>
  <c r="H154" i="2" s="1"/>
  <c r="G153" i="2"/>
  <c r="E153" i="2"/>
  <c r="D153" i="2"/>
  <c r="F153" i="2" s="1"/>
  <c r="H153" i="2" s="1"/>
  <c r="G152" i="2"/>
  <c r="D152" i="2"/>
  <c r="E152" i="2" s="1"/>
  <c r="G151" i="2"/>
  <c r="E151" i="2"/>
  <c r="I151" i="2" s="1"/>
  <c r="D151" i="2"/>
  <c r="F151" i="2" s="1"/>
  <c r="H151" i="2" s="1"/>
  <c r="G150" i="2"/>
  <c r="E150" i="2"/>
  <c r="D150" i="2"/>
  <c r="F150" i="2" s="1"/>
  <c r="H150" i="2" s="1"/>
  <c r="I149" i="2"/>
  <c r="G149" i="2"/>
  <c r="F149" i="2"/>
  <c r="H149" i="2" s="1"/>
  <c r="E149" i="2"/>
  <c r="D149" i="2"/>
  <c r="G148" i="2"/>
  <c r="D148" i="2"/>
  <c r="E148" i="2" s="1"/>
  <c r="G147" i="2"/>
  <c r="D147" i="2"/>
  <c r="G146" i="2"/>
  <c r="D146" i="2"/>
  <c r="I145" i="2"/>
  <c r="G145" i="2"/>
  <c r="F145" i="2"/>
  <c r="H145" i="2" s="1"/>
  <c r="E145" i="2"/>
  <c r="D145" i="2"/>
  <c r="G144" i="2"/>
  <c r="D144" i="2"/>
  <c r="G143" i="2"/>
  <c r="D143" i="2"/>
  <c r="G142" i="2"/>
  <c r="E142" i="2"/>
  <c r="D142" i="2"/>
  <c r="F142" i="2" s="1"/>
  <c r="H142" i="2" s="1"/>
  <c r="G141" i="2"/>
  <c r="E141" i="2"/>
  <c r="D141" i="2"/>
  <c r="I140" i="2"/>
  <c r="G140" i="2"/>
  <c r="F140" i="2"/>
  <c r="H140" i="2" s="1"/>
  <c r="E140" i="2"/>
  <c r="D140" i="2"/>
  <c r="G139" i="2"/>
  <c r="E139" i="2"/>
  <c r="I139" i="2" s="1"/>
  <c r="D139" i="2"/>
  <c r="F139" i="2" s="1"/>
  <c r="H139" i="2" s="1"/>
  <c r="G138" i="2"/>
  <c r="D138" i="2"/>
  <c r="I137" i="2"/>
  <c r="G137" i="2"/>
  <c r="F137" i="2"/>
  <c r="H137" i="2" s="1"/>
  <c r="D137" i="2"/>
  <c r="E137" i="2" s="1"/>
  <c r="G136" i="2"/>
  <c r="D136" i="2"/>
  <c r="E136" i="2" s="1"/>
  <c r="G135" i="2"/>
  <c r="D135" i="2"/>
  <c r="G134" i="2"/>
  <c r="D134" i="2"/>
  <c r="G133" i="2"/>
  <c r="E133" i="2"/>
  <c r="D133" i="2"/>
  <c r="G132" i="2"/>
  <c r="D132" i="2"/>
  <c r="G131" i="2"/>
  <c r="D131" i="2"/>
  <c r="I130" i="2"/>
  <c r="G130" i="2"/>
  <c r="E130" i="2"/>
  <c r="D130" i="2"/>
  <c r="G129" i="2"/>
  <c r="E129" i="2"/>
  <c r="D129" i="2"/>
  <c r="F129" i="2" s="1"/>
  <c r="H129" i="2" s="1"/>
  <c r="I128" i="2"/>
  <c r="G128" i="2"/>
  <c r="F128" i="2"/>
  <c r="E128" i="2"/>
  <c r="D128" i="2"/>
  <c r="G127" i="2"/>
  <c r="D127" i="2"/>
  <c r="G126" i="2"/>
  <c r="D126" i="2"/>
  <c r="G125" i="2"/>
  <c r="F125" i="2"/>
  <c r="H125" i="2" s="1"/>
  <c r="D125" i="2"/>
  <c r="E125" i="2" s="1"/>
  <c r="G124" i="2"/>
  <c r="D124" i="2"/>
  <c r="E124" i="2" s="1"/>
  <c r="G123" i="2"/>
  <c r="D123" i="2"/>
  <c r="G122" i="2"/>
  <c r="D122" i="2"/>
  <c r="E122" i="2" s="1"/>
  <c r="G121" i="2"/>
  <c r="E121" i="2"/>
  <c r="D121" i="2"/>
  <c r="G120" i="2"/>
  <c r="D120" i="2"/>
  <c r="G119" i="2"/>
  <c r="D119" i="2"/>
  <c r="E119" i="2" s="1"/>
  <c r="G118" i="2"/>
  <c r="E118" i="2"/>
  <c r="D118" i="2"/>
  <c r="F118" i="2" s="1"/>
  <c r="H118" i="2" s="1"/>
  <c r="G117" i="2"/>
  <c r="D117" i="2"/>
  <c r="I116" i="2"/>
  <c r="G116" i="2"/>
  <c r="E116" i="2"/>
  <c r="D116" i="2"/>
  <c r="F116" i="2" s="1"/>
  <c r="H116" i="2" s="1"/>
  <c r="G115" i="2"/>
  <c r="D115" i="2"/>
  <c r="E115" i="2" s="1"/>
  <c r="G114" i="2"/>
  <c r="D114" i="2"/>
  <c r="G113" i="2"/>
  <c r="D113" i="2"/>
  <c r="E113" i="2" s="1"/>
  <c r="I113" i="2" s="1"/>
  <c r="G112" i="2"/>
  <c r="F112" i="2"/>
  <c r="H112" i="2" s="1"/>
  <c r="E112" i="2"/>
  <c r="D112" i="2"/>
  <c r="G111" i="2"/>
  <c r="D111" i="2"/>
  <c r="G110" i="2"/>
  <c r="D110" i="2"/>
  <c r="G109" i="2"/>
  <c r="D109" i="2"/>
  <c r="G108" i="2"/>
  <c r="E108" i="2"/>
  <c r="D108" i="2"/>
  <c r="G107" i="2"/>
  <c r="D107" i="2"/>
  <c r="E107" i="2" s="1"/>
  <c r="I107" i="2" s="1"/>
  <c r="G106" i="2"/>
  <c r="E106" i="2"/>
  <c r="I106" i="2" s="1"/>
  <c r="D106" i="2"/>
  <c r="F106" i="2" s="1"/>
  <c r="H106" i="2" s="1"/>
  <c r="G105" i="2"/>
  <c r="D105" i="2"/>
  <c r="I104" i="2"/>
  <c r="G104" i="2"/>
  <c r="E104" i="2"/>
  <c r="F104" i="2" s="1"/>
  <c r="H104" i="2" s="1"/>
  <c r="D104" i="2"/>
  <c r="G103" i="2"/>
  <c r="D103" i="2"/>
  <c r="E103" i="2" s="1"/>
  <c r="G102" i="2"/>
  <c r="D102" i="2"/>
  <c r="G101" i="2"/>
  <c r="D101" i="2"/>
  <c r="E101" i="2" s="1"/>
  <c r="I101" i="2" s="1"/>
  <c r="G100" i="2"/>
  <c r="E100" i="2"/>
  <c r="D100" i="2"/>
  <c r="G99" i="2"/>
  <c r="D99" i="2"/>
  <c r="G98" i="2"/>
  <c r="D98" i="2"/>
  <c r="I97" i="2"/>
  <c r="G97" i="2"/>
  <c r="E97" i="2"/>
  <c r="D97" i="2"/>
  <c r="F97" i="2" s="1"/>
  <c r="H97" i="2" s="1"/>
  <c r="G96" i="2"/>
  <c r="E96" i="2"/>
  <c r="D96" i="2"/>
  <c r="G95" i="2"/>
  <c r="D95" i="2"/>
  <c r="E95" i="2" s="1"/>
  <c r="I95" i="2" s="1"/>
  <c r="G94" i="2"/>
  <c r="E94" i="2"/>
  <c r="I94" i="2" s="1"/>
  <c r="D94" i="2"/>
  <c r="F94" i="2" s="1"/>
  <c r="H94" i="2" s="1"/>
  <c r="G93" i="2"/>
  <c r="D93" i="2"/>
  <c r="I92" i="2"/>
  <c r="G92" i="2"/>
  <c r="F92" i="2"/>
  <c r="H92" i="2" s="1"/>
  <c r="E92" i="2"/>
  <c r="D92" i="2"/>
  <c r="G91" i="2"/>
  <c r="D91" i="2"/>
  <c r="E91" i="2" s="1"/>
  <c r="G90" i="2"/>
  <c r="D90" i="2"/>
  <c r="G89" i="2"/>
  <c r="F89" i="2"/>
  <c r="H89" i="2" s="1"/>
  <c r="D89" i="2"/>
  <c r="E89" i="2" s="1"/>
  <c r="I89" i="2" s="1"/>
  <c r="I88" i="2"/>
  <c r="G88" i="2"/>
  <c r="F88" i="2"/>
  <c r="H88" i="2" s="1"/>
  <c r="E88" i="2"/>
  <c r="D88" i="2"/>
  <c r="G87" i="2"/>
  <c r="D87" i="2"/>
  <c r="G86" i="2"/>
  <c r="D86" i="2"/>
  <c r="I85" i="2"/>
  <c r="G85" i="2"/>
  <c r="E85" i="2"/>
  <c r="D85" i="2"/>
  <c r="F85" i="2" s="1"/>
  <c r="H85" i="2" s="1"/>
  <c r="G84" i="2"/>
  <c r="F84" i="2"/>
  <c r="H84" i="2" s="1"/>
  <c r="E84" i="2"/>
  <c r="D84" i="2"/>
  <c r="G83" i="2"/>
  <c r="F83" i="2"/>
  <c r="D83" i="2"/>
  <c r="E83" i="2" s="1"/>
  <c r="I83" i="2" s="1"/>
  <c r="G82" i="2"/>
  <c r="E82" i="2"/>
  <c r="I82" i="2" s="1"/>
  <c r="D82" i="2"/>
  <c r="G81" i="2"/>
  <c r="D81" i="2"/>
  <c r="I80" i="2"/>
  <c r="G80" i="2"/>
  <c r="F80" i="2"/>
  <c r="H80" i="2" s="1"/>
  <c r="E80" i="2"/>
  <c r="D80" i="2"/>
  <c r="G79" i="2"/>
  <c r="F79" i="2"/>
  <c r="H79" i="2" s="1"/>
  <c r="D79" i="2"/>
  <c r="E79" i="2" s="1"/>
  <c r="G78" i="2"/>
  <c r="D78" i="2"/>
  <c r="G77" i="2"/>
  <c r="F77" i="2"/>
  <c r="H77" i="2" s="1"/>
  <c r="E77" i="2"/>
  <c r="D77" i="2"/>
  <c r="G76" i="2"/>
  <c r="F76" i="2"/>
  <c r="H76" i="2" s="1"/>
  <c r="E76" i="2"/>
  <c r="D76" i="2"/>
  <c r="G75" i="2"/>
  <c r="D75" i="2"/>
  <c r="G74" i="2"/>
  <c r="F74" i="2"/>
  <c r="H74" i="2" s="1"/>
  <c r="E74" i="2"/>
  <c r="D74" i="2"/>
  <c r="G73" i="2"/>
  <c r="E73" i="2"/>
  <c r="D73" i="2"/>
  <c r="G72" i="2"/>
  <c r="D72" i="2"/>
  <c r="G71" i="2"/>
  <c r="E71" i="2"/>
  <c r="D71" i="2"/>
  <c r="G70" i="2"/>
  <c r="E70" i="2"/>
  <c r="I70" i="2" s="1"/>
  <c r="D70" i="2"/>
  <c r="F70" i="2" s="1"/>
  <c r="H70" i="2" s="1"/>
  <c r="G69" i="2"/>
  <c r="D69" i="2"/>
  <c r="I68" i="2"/>
  <c r="H68" i="2"/>
  <c r="G68" i="2"/>
  <c r="F68" i="2"/>
  <c r="E68" i="2"/>
  <c r="D68" i="2"/>
  <c r="G67" i="2"/>
  <c r="E67" i="2"/>
  <c r="D67" i="2"/>
  <c r="F67" i="2" s="1"/>
  <c r="H67" i="2" s="1"/>
  <c r="G66" i="2"/>
  <c r="D66" i="2"/>
  <c r="E66" i="2" s="1"/>
  <c r="G65" i="2"/>
  <c r="F65" i="2"/>
  <c r="H65" i="2" s="1"/>
  <c r="E65" i="2"/>
  <c r="I65" i="2" s="1"/>
  <c r="D65" i="2"/>
  <c r="G64" i="2"/>
  <c r="D64" i="2"/>
  <c r="G63" i="2"/>
  <c r="D63" i="2"/>
  <c r="G62" i="2"/>
  <c r="F62" i="2"/>
  <c r="H62" i="2" s="1"/>
  <c r="E62" i="2"/>
  <c r="D62" i="2"/>
  <c r="I61" i="2"/>
  <c r="G61" i="2"/>
  <c r="E61" i="2"/>
  <c r="D61" i="2"/>
  <c r="F61" i="2" s="1"/>
  <c r="G60" i="2"/>
  <c r="D60" i="2"/>
  <c r="G59" i="2"/>
  <c r="E59" i="2"/>
  <c r="D59" i="2"/>
  <c r="G58" i="2"/>
  <c r="E58" i="2"/>
  <c r="I58" i="2" s="1"/>
  <c r="D58" i="2"/>
  <c r="F58" i="2" s="1"/>
  <c r="H58" i="2" s="1"/>
  <c r="G57" i="2"/>
  <c r="D57" i="2"/>
  <c r="I56" i="2"/>
  <c r="G56" i="2"/>
  <c r="E56" i="2"/>
  <c r="F56" i="2" s="1"/>
  <c r="H56" i="2" s="1"/>
  <c r="D56" i="2"/>
  <c r="G55" i="2"/>
  <c r="E55" i="2"/>
  <c r="D55" i="2"/>
  <c r="F55" i="2" s="1"/>
  <c r="H55" i="2" s="1"/>
  <c r="G54" i="2"/>
  <c r="F54" i="2"/>
  <c r="H54" i="2" s="1"/>
  <c r="D54" i="2"/>
  <c r="E54" i="2" s="1"/>
  <c r="G53" i="2"/>
  <c r="F53" i="2"/>
  <c r="H53" i="2" s="1"/>
  <c r="E53" i="2"/>
  <c r="I53" i="2" s="1"/>
  <c r="D53" i="2"/>
  <c r="G52" i="2"/>
  <c r="D52" i="2"/>
  <c r="G51" i="2"/>
  <c r="D51" i="2"/>
  <c r="I50" i="2"/>
  <c r="G50" i="2"/>
  <c r="F50" i="2"/>
  <c r="H50" i="2" s="1"/>
  <c r="E50" i="2"/>
  <c r="D50" i="2"/>
  <c r="G49" i="2"/>
  <c r="D49" i="2"/>
  <c r="G48" i="2"/>
  <c r="D48" i="2"/>
  <c r="G47" i="2"/>
  <c r="F47" i="2"/>
  <c r="H47" i="2" s="1"/>
  <c r="E47" i="2"/>
  <c r="D47" i="2"/>
  <c r="G46" i="2"/>
  <c r="E46" i="2"/>
  <c r="I46" i="2" s="1"/>
  <c r="D46" i="2"/>
  <c r="F46" i="2" s="1"/>
  <c r="H46" i="2" s="1"/>
  <c r="G45" i="2"/>
  <c r="D45" i="2"/>
  <c r="I44" i="2"/>
  <c r="G44" i="2"/>
  <c r="E44" i="2"/>
  <c r="D44" i="2"/>
  <c r="F44" i="2" s="1"/>
  <c r="H44" i="2" s="1"/>
  <c r="G43" i="2"/>
  <c r="E43" i="2"/>
  <c r="D43" i="2"/>
  <c r="F43" i="2" s="1"/>
  <c r="H43" i="2" s="1"/>
  <c r="G42" i="2"/>
  <c r="D42" i="2"/>
  <c r="E42" i="2" s="1"/>
  <c r="G41" i="2"/>
  <c r="F41" i="2"/>
  <c r="H41" i="2" s="1"/>
  <c r="E41" i="2"/>
  <c r="I41" i="2" s="1"/>
  <c r="D41" i="2"/>
  <c r="G40" i="2"/>
  <c r="E40" i="2"/>
  <c r="D40" i="2"/>
  <c r="G39" i="2"/>
  <c r="D39" i="2"/>
  <c r="I38" i="2"/>
  <c r="G38" i="2"/>
  <c r="F38" i="2"/>
  <c r="H38" i="2" s="1"/>
  <c r="E38" i="2"/>
  <c r="D38" i="2"/>
  <c r="G37" i="2"/>
  <c r="D37" i="2"/>
  <c r="G36" i="2"/>
  <c r="D36" i="2"/>
  <c r="I35" i="2"/>
  <c r="G35" i="2"/>
  <c r="E35" i="2"/>
  <c r="F35" i="2" s="1"/>
  <c r="H35" i="2" s="1"/>
  <c r="D35" i="2"/>
  <c r="G34" i="2"/>
  <c r="E34" i="2"/>
  <c r="D34" i="2"/>
  <c r="G33" i="2"/>
  <c r="D33" i="2"/>
  <c r="E33" i="2" s="1"/>
  <c r="I32" i="2"/>
  <c r="G32" i="2"/>
  <c r="E32" i="2"/>
  <c r="D32" i="2"/>
  <c r="F32" i="2" s="1"/>
  <c r="H32" i="2" s="1"/>
  <c r="G31" i="2"/>
  <c r="E31" i="2"/>
  <c r="D31" i="2"/>
  <c r="I30" i="2"/>
  <c r="H30" i="2"/>
  <c r="G30" i="2"/>
  <c r="F30" i="2"/>
  <c r="E30" i="2"/>
  <c r="D30" i="2"/>
  <c r="G29" i="2"/>
  <c r="F29" i="2"/>
  <c r="H29" i="2" s="1"/>
  <c r="E29" i="2"/>
  <c r="I29" i="2" s="1"/>
  <c r="D29" i="2"/>
  <c r="G28" i="2"/>
  <c r="F28" i="2"/>
  <c r="H28" i="2" s="1"/>
  <c r="E28" i="2"/>
  <c r="D28" i="2"/>
  <c r="G27" i="2"/>
  <c r="D27" i="2"/>
  <c r="G26" i="2"/>
  <c r="D26" i="2"/>
  <c r="G25" i="2"/>
  <c r="F25" i="2"/>
  <c r="H25" i="2" s="1"/>
  <c r="E25" i="2"/>
  <c r="I25" i="2" s="1"/>
  <c r="D25" i="2"/>
  <c r="K24" i="2"/>
  <c r="G24" i="2"/>
  <c r="D24" i="2"/>
  <c r="G23" i="2"/>
  <c r="D23" i="2"/>
  <c r="I22" i="2"/>
  <c r="G22" i="2"/>
  <c r="E22" i="2"/>
  <c r="D22" i="2"/>
  <c r="F22" i="2" s="1"/>
  <c r="H22" i="2" s="1"/>
  <c r="G21" i="2"/>
  <c r="D21" i="2"/>
  <c r="E21" i="2" s="1"/>
  <c r="G20" i="2"/>
  <c r="D20" i="2"/>
  <c r="E20" i="2" s="1"/>
  <c r="G19" i="2"/>
  <c r="E19" i="2"/>
  <c r="I19" i="2" s="1"/>
  <c r="D19" i="2"/>
  <c r="F19" i="2" s="1"/>
  <c r="H19" i="2" s="1"/>
  <c r="G18" i="2"/>
  <c r="E18" i="2"/>
  <c r="D18" i="2"/>
  <c r="J17" i="2"/>
  <c r="G17" i="2"/>
  <c r="F17" i="2"/>
  <c r="H17" i="2" s="1"/>
  <c r="E17" i="2"/>
  <c r="I17" i="2" s="1"/>
  <c r="D17" i="2"/>
  <c r="G16" i="2"/>
  <c r="D16" i="2"/>
  <c r="D15" i="2"/>
  <c r="E14" i="2"/>
  <c r="D14" i="2"/>
  <c r="T13" i="2"/>
  <c r="Q13" i="2"/>
  <c r="T12" i="2"/>
  <c r="R12" i="2"/>
  <c r="Q12" i="2"/>
  <c r="M12" i="2"/>
  <c r="N12" i="2" s="1"/>
  <c r="Q11" i="2"/>
  <c r="Q10" i="2"/>
  <c r="Q9" i="2"/>
  <c r="T8" i="2"/>
  <c r="M8" i="2" s="1"/>
  <c r="N8" i="2" s="1"/>
  <c r="R8" i="2"/>
  <c r="Q8" i="2"/>
  <c r="R7" i="2"/>
  <c r="Q7" i="2"/>
  <c r="Q6" i="2"/>
  <c r="T5" i="2"/>
  <c r="Q5" i="2"/>
  <c r="M5" i="2"/>
  <c r="U5" i="2" s="1"/>
  <c r="Q4" i="2"/>
  <c r="R3" i="2"/>
  <c r="Q3" i="2"/>
  <c r="Q2" i="2"/>
  <c r="C28" i="1"/>
  <c r="G15" i="2" s="1"/>
  <c r="C27" i="1"/>
  <c r="J20" i="2" s="1"/>
  <c r="C26" i="1"/>
  <c r="C25" i="1"/>
  <c r="C24" i="1"/>
  <c r="C23" i="1"/>
  <c r="C22" i="1"/>
  <c r="C24" i="3" s="1"/>
  <c r="C21" i="1"/>
  <c r="C20" i="1"/>
  <c r="K41" i="2" s="1"/>
  <c r="I21" i="2" l="1"/>
  <c r="L21" i="2" s="1"/>
  <c r="F21" i="2"/>
  <c r="H21" i="2" s="1"/>
  <c r="I33" i="2"/>
  <c r="L33" i="2" s="1"/>
  <c r="F33" i="2"/>
  <c r="H33" i="2" s="1"/>
  <c r="F26" i="2"/>
  <c r="H26" i="2" s="1"/>
  <c r="L18" i="2"/>
  <c r="F20" i="2"/>
  <c r="H20" i="2" s="1"/>
  <c r="I20" i="2"/>
  <c r="L20" i="2" s="1"/>
  <c r="K17" i="2"/>
  <c r="L17" i="2" s="1"/>
  <c r="E23" i="2"/>
  <c r="E26" i="2"/>
  <c r="J70" i="2"/>
  <c r="U8" i="2"/>
  <c r="R10" i="2"/>
  <c r="J15" i="2"/>
  <c r="E16" i="2"/>
  <c r="F16" i="2" s="1"/>
  <c r="H16" i="2" s="1"/>
  <c r="K22" i="2"/>
  <c r="E27" i="2"/>
  <c r="J34" i="2"/>
  <c r="K53" i="2"/>
  <c r="E87" i="2"/>
  <c r="K29" i="2"/>
  <c r="F45" i="2"/>
  <c r="H45" i="2" s="1"/>
  <c r="E45" i="2"/>
  <c r="T3" i="2"/>
  <c r="M3" i="2" s="1"/>
  <c r="N3" i="2" s="1"/>
  <c r="U3" i="2"/>
  <c r="R5" i="2"/>
  <c r="T10" i="2"/>
  <c r="M10" i="2" s="1"/>
  <c r="C12" i="3"/>
  <c r="D182" i="2"/>
  <c r="K15" i="2"/>
  <c r="K28" i="2"/>
  <c r="K34" i="2"/>
  <c r="I54" i="2"/>
  <c r="K65" i="2"/>
  <c r="I71" i="2"/>
  <c r="F71" i="2"/>
  <c r="H71" i="2" s="1"/>
  <c r="L77" i="2"/>
  <c r="J178" i="2"/>
  <c r="J166" i="2"/>
  <c r="L166" i="2" s="1"/>
  <c r="J154" i="2"/>
  <c r="J142" i="2"/>
  <c r="J130" i="2"/>
  <c r="J180" i="2"/>
  <c r="J168" i="2"/>
  <c r="J156" i="2"/>
  <c r="J175" i="2"/>
  <c r="L175" i="2" s="1"/>
  <c r="J163" i="2"/>
  <c r="J151" i="2"/>
  <c r="J139" i="2"/>
  <c r="J127" i="2"/>
  <c r="J170" i="2"/>
  <c r="J158" i="2"/>
  <c r="J146" i="2"/>
  <c r="J134" i="2"/>
  <c r="J122" i="2"/>
  <c r="J172" i="2"/>
  <c r="J160" i="2"/>
  <c r="J148" i="2"/>
  <c r="L148" i="2" s="1"/>
  <c r="J136" i="2"/>
  <c r="J124" i="2"/>
  <c r="J179" i="2"/>
  <c r="J167" i="2"/>
  <c r="J155" i="2"/>
  <c r="J143" i="2"/>
  <c r="J131" i="2"/>
  <c r="J174" i="2"/>
  <c r="J162" i="2"/>
  <c r="J150" i="2"/>
  <c r="J138" i="2"/>
  <c r="J181" i="2"/>
  <c r="L181" i="2" s="1"/>
  <c r="J169" i="2"/>
  <c r="J157" i="2"/>
  <c r="J145" i="2"/>
  <c r="J133" i="2"/>
  <c r="J121" i="2"/>
  <c r="J171" i="2"/>
  <c r="J159" i="2"/>
  <c r="J147" i="2"/>
  <c r="J135" i="2"/>
  <c r="J123" i="2"/>
  <c r="J164" i="2"/>
  <c r="J106" i="2"/>
  <c r="L106" i="2" s="1"/>
  <c r="J94" i="2"/>
  <c r="J82" i="2"/>
  <c r="J152" i="2"/>
  <c r="J128" i="2"/>
  <c r="J113" i="2"/>
  <c r="J101" i="2"/>
  <c r="J89" i="2"/>
  <c r="J77" i="2"/>
  <c r="J125" i="2"/>
  <c r="J119" i="2"/>
  <c r="J118" i="2"/>
  <c r="J108" i="2"/>
  <c r="L108" i="2" s="1"/>
  <c r="J96" i="2"/>
  <c r="J84" i="2"/>
  <c r="J177" i="2"/>
  <c r="J141" i="2"/>
  <c r="J115" i="2"/>
  <c r="J103" i="2"/>
  <c r="J91" i="2"/>
  <c r="J79" i="2"/>
  <c r="J120" i="2"/>
  <c r="J110" i="2"/>
  <c r="J98" i="2"/>
  <c r="J86" i="2"/>
  <c r="J74" i="2"/>
  <c r="J173" i="2"/>
  <c r="J165" i="2"/>
  <c r="J129" i="2"/>
  <c r="J126" i="2"/>
  <c r="J112" i="2"/>
  <c r="J100" i="2"/>
  <c r="J88" i="2"/>
  <c r="J161" i="2"/>
  <c r="J153" i="2"/>
  <c r="J144" i="2"/>
  <c r="J107" i="2"/>
  <c r="L107" i="2" s="1"/>
  <c r="J95" i="2"/>
  <c r="J149" i="2"/>
  <c r="J114" i="2"/>
  <c r="J102" i="2"/>
  <c r="J90" i="2"/>
  <c r="J78" i="2"/>
  <c r="J176" i="2"/>
  <c r="J109" i="2"/>
  <c r="J97" i="2"/>
  <c r="J85" i="2"/>
  <c r="J65" i="2"/>
  <c r="L65" i="2" s="1"/>
  <c r="J53" i="2"/>
  <c r="L53" i="2" s="1"/>
  <c r="J41" i="2"/>
  <c r="L41" i="2" s="1"/>
  <c r="J29" i="2"/>
  <c r="L29" i="2" s="1"/>
  <c r="J60" i="2"/>
  <c r="J48" i="2"/>
  <c r="J36" i="2"/>
  <c r="J67" i="2"/>
  <c r="J55" i="2"/>
  <c r="J43" i="2"/>
  <c r="J31" i="2"/>
  <c r="J132" i="2"/>
  <c r="J62" i="2"/>
  <c r="J50" i="2"/>
  <c r="L50" i="2" s="1"/>
  <c r="J38" i="2"/>
  <c r="J105" i="2"/>
  <c r="J93" i="2"/>
  <c r="J76" i="2"/>
  <c r="J73" i="2"/>
  <c r="J69" i="2"/>
  <c r="J57" i="2"/>
  <c r="J45" i="2"/>
  <c r="J117" i="2"/>
  <c r="J99" i="2"/>
  <c r="J72" i="2"/>
  <c r="J64" i="2"/>
  <c r="J52" i="2"/>
  <c r="J40" i="2"/>
  <c r="J28" i="2"/>
  <c r="J111" i="2"/>
  <c r="J83" i="2"/>
  <c r="J75" i="2"/>
  <c r="J71" i="2"/>
  <c r="J59" i="2"/>
  <c r="J47" i="2"/>
  <c r="J35" i="2"/>
  <c r="L35" i="2" s="1"/>
  <c r="J66" i="2"/>
  <c r="J54" i="2"/>
  <c r="L54" i="2" s="1"/>
  <c r="J140" i="2"/>
  <c r="J137" i="2"/>
  <c r="J61" i="2"/>
  <c r="J49" i="2"/>
  <c r="J37" i="2"/>
  <c r="J104" i="2"/>
  <c r="J92" i="2"/>
  <c r="J87" i="2"/>
  <c r="J80" i="2"/>
  <c r="J68" i="2"/>
  <c r="L68" i="2" s="1"/>
  <c r="J56" i="2"/>
  <c r="L56" i="2" s="1"/>
  <c r="J44" i="2"/>
  <c r="J116" i="2"/>
  <c r="L116" i="2" s="1"/>
  <c r="J81" i="2"/>
  <c r="J63" i="2"/>
  <c r="J51" i="2"/>
  <c r="I18" i="2"/>
  <c r="K20" i="2"/>
  <c r="J25" i="2"/>
  <c r="E36" i="2"/>
  <c r="F36" i="2" s="1"/>
  <c r="H36" i="2" s="1"/>
  <c r="J39" i="2"/>
  <c r="I66" i="2"/>
  <c r="L66" i="2" s="1"/>
  <c r="K112" i="2"/>
  <c r="I178" i="2"/>
  <c r="L178" i="2" s="1"/>
  <c r="F63" i="2"/>
  <c r="H63" i="2" s="1"/>
  <c r="F66" i="2"/>
  <c r="H66" i="2" s="1"/>
  <c r="F18" i="2"/>
  <c r="H18" i="2" s="1"/>
  <c r="J30" i="2"/>
  <c r="Q182" i="2"/>
  <c r="J18" i="2"/>
  <c r="K173" i="2"/>
  <c r="K161" i="2"/>
  <c r="K149" i="2"/>
  <c r="K137" i="2"/>
  <c r="K125" i="2"/>
  <c r="K175" i="2"/>
  <c r="K163" i="2"/>
  <c r="K151" i="2"/>
  <c r="K170" i="2"/>
  <c r="K158" i="2"/>
  <c r="K146" i="2"/>
  <c r="K134" i="2"/>
  <c r="K122" i="2"/>
  <c r="K177" i="2"/>
  <c r="K165" i="2"/>
  <c r="K153" i="2"/>
  <c r="K141" i="2"/>
  <c r="K129" i="2"/>
  <c r="L129" i="2" s="1"/>
  <c r="K117" i="2"/>
  <c r="K179" i="2"/>
  <c r="K167" i="2"/>
  <c r="K155" i="2"/>
  <c r="K143" i="2"/>
  <c r="K131" i="2"/>
  <c r="K119" i="2"/>
  <c r="K174" i="2"/>
  <c r="K162" i="2"/>
  <c r="K150" i="2"/>
  <c r="K138" i="2"/>
  <c r="K126" i="2"/>
  <c r="K181" i="2"/>
  <c r="K169" i="2"/>
  <c r="K157" i="2"/>
  <c r="K145" i="2"/>
  <c r="K133" i="2"/>
  <c r="K176" i="2"/>
  <c r="K164" i="2"/>
  <c r="K152" i="2"/>
  <c r="K140" i="2"/>
  <c r="K128" i="2"/>
  <c r="K178" i="2"/>
  <c r="K166" i="2"/>
  <c r="K154" i="2"/>
  <c r="K142" i="2"/>
  <c r="K130" i="2"/>
  <c r="K113" i="2"/>
  <c r="K101" i="2"/>
  <c r="K89" i="2"/>
  <c r="K77" i="2"/>
  <c r="K135" i="2"/>
  <c r="K118" i="2"/>
  <c r="K108" i="2"/>
  <c r="K96" i="2"/>
  <c r="K84" i="2"/>
  <c r="K72" i="2"/>
  <c r="K172" i="2"/>
  <c r="K168" i="2"/>
  <c r="K121" i="2"/>
  <c r="K115" i="2"/>
  <c r="K103" i="2"/>
  <c r="K91" i="2"/>
  <c r="K79" i="2"/>
  <c r="K160" i="2"/>
  <c r="K156" i="2"/>
  <c r="K120" i="2"/>
  <c r="K110" i="2"/>
  <c r="K98" i="2"/>
  <c r="K86" i="2"/>
  <c r="K74" i="2"/>
  <c r="K148" i="2"/>
  <c r="K105" i="2"/>
  <c r="K93" i="2"/>
  <c r="K81" i="2"/>
  <c r="K144" i="2"/>
  <c r="K136" i="2"/>
  <c r="K107" i="2"/>
  <c r="K95" i="2"/>
  <c r="L95" i="2" s="1"/>
  <c r="K139" i="2"/>
  <c r="L139" i="2" s="1"/>
  <c r="K114" i="2"/>
  <c r="K102" i="2"/>
  <c r="K90" i="2"/>
  <c r="K171" i="2"/>
  <c r="K123" i="2"/>
  <c r="K109" i="2"/>
  <c r="K97" i="2"/>
  <c r="K85" i="2"/>
  <c r="K159" i="2"/>
  <c r="K132" i="2"/>
  <c r="K116" i="2"/>
  <c r="K104" i="2"/>
  <c r="L104" i="2" s="1"/>
  <c r="K92" i="2"/>
  <c r="K127" i="2"/>
  <c r="K124" i="2"/>
  <c r="K60" i="2"/>
  <c r="K48" i="2"/>
  <c r="K36" i="2"/>
  <c r="K67" i="2"/>
  <c r="K55" i="2"/>
  <c r="K43" i="2"/>
  <c r="K31" i="2"/>
  <c r="K82" i="2"/>
  <c r="L82" i="2" s="1"/>
  <c r="K62" i="2"/>
  <c r="K50" i="2"/>
  <c r="K38" i="2"/>
  <c r="K76" i="2"/>
  <c r="K73" i="2"/>
  <c r="K69" i="2"/>
  <c r="K57" i="2"/>
  <c r="K45" i="2"/>
  <c r="K33" i="2"/>
  <c r="K99" i="2"/>
  <c r="K64" i="2"/>
  <c r="K52" i="2"/>
  <c r="K40" i="2"/>
  <c r="L40" i="2" s="1"/>
  <c r="K180" i="2"/>
  <c r="K147" i="2"/>
  <c r="K111" i="2"/>
  <c r="K83" i="2"/>
  <c r="K78" i="2"/>
  <c r="K75" i="2"/>
  <c r="K71" i="2"/>
  <c r="L71" i="2" s="1"/>
  <c r="K59" i="2"/>
  <c r="K47" i="2"/>
  <c r="K35" i="2"/>
  <c r="K66" i="2"/>
  <c r="K54" i="2"/>
  <c r="K42" i="2"/>
  <c r="K30" i="2"/>
  <c r="K61" i="2"/>
  <c r="K49" i="2"/>
  <c r="K87" i="2"/>
  <c r="K80" i="2"/>
  <c r="K68" i="2"/>
  <c r="K56" i="2"/>
  <c r="K44" i="2"/>
  <c r="K63" i="2"/>
  <c r="K51" i="2"/>
  <c r="K39" i="2"/>
  <c r="K106" i="2"/>
  <c r="K100" i="2"/>
  <c r="K94" i="2"/>
  <c r="K70" i="2"/>
  <c r="K58" i="2"/>
  <c r="R2" i="2"/>
  <c r="T7" i="2"/>
  <c r="M7" i="2" s="1"/>
  <c r="N7" i="2" s="1"/>
  <c r="U12" i="2"/>
  <c r="G14" i="2"/>
  <c r="K18" i="2"/>
  <c r="J23" i="2"/>
  <c r="E24" i="2"/>
  <c r="J26" i="2"/>
  <c r="K27" i="2"/>
  <c r="F31" i="2"/>
  <c r="H31" i="2" s="1"/>
  <c r="J33" i="2"/>
  <c r="L38" i="2"/>
  <c r="F40" i="2"/>
  <c r="H40" i="2" s="1"/>
  <c r="F72" i="2"/>
  <c r="H72" i="2" s="1"/>
  <c r="M14" i="2"/>
  <c r="S14" i="2" s="1"/>
  <c r="N5" i="2"/>
  <c r="T2" i="2"/>
  <c r="R9" i="2"/>
  <c r="J16" i="2"/>
  <c r="K23" i="2"/>
  <c r="K26" i="2"/>
  <c r="L31" i="2"/>
  <c r="I31" i="2"/>
  <c r="I40" i="2"/>
  <c r="F49" i="2"/>
  <c r="H49" i="2" s="1"/>
  <c r="F52" i="2"/>
  <c r="H52" i="2" s="1"/>
  <c r="E52" i="2"/>
  <c r="H61" i="2"/>
  <c r="I34" i="2"/>
  <c r="L34" i="2"/>
  <c r="J22" i="2"/>
  <c r="L22" i="2" s="1"/>
  <c r="K37" i="2"/>
  <c r="F14" i="2"/>
  <c r="J27" i="2"/>
  <c r="T9" i="2"/>
  <c r="M9" i="2" s="1"/>
  <c r="N9" i="2" s="1"/>
  <c r="M13" i="2"/>
  <c r="K16" i="2"/>
  <c r="J21" i="2"/>
  <c r="I42" i="2"/>
  <c r="J46" i="2"/>
  <c r="L46" i="2" s="1"/>
  <c r="L61" i="2"/>
  <c r="F64" i="2"/>
  <c r="H64" i="2" s="1"/>
  <c r="E64" i="2"/>
  <c r="K25" i="2"/>
  <c r="C23" i="3"/>
  <c r="T4" i="2"/>
  <c r="M4" i="2" s="1"/>
  <c r="N4" i="2" s="1"/>
  <c r="U9" i="2"/>
  <c r="R11" i="2"/>
  <c r="J14" i="2"/>
  <c r="E15" i="2"/>
  <c r="K21" i="2"/>
  <c r="J32" i="2"/>
  <c r="L32" i="2" s="1"/>
  <c r="F42" i="2"/>
  <c r="H42" i="2" s="1"/>
  <c r="K46" i="2"/>
  <c r="K88" i="2"/>
  <c r="R4" i="2"/>
  <c r="I14" i="2"/>
  <c r="U4" i="2"/>
  <c r="R6" i="2"/>
  <c r="T11" i="2"/>
  <c r="M11" i="2" s="1"/>
  <c r="N11" i="2" s="1"/>
  <c r="K14" i="2"/>
  <c r="J19" i="2"/>
  <c r="L19" i="2" s="1"/>
  <c r="K32" i="2"/>
  <c r="L30" i="2"/>
  <c r="I59" i="2"/>
  <c r="L59" i="2" s="1"/>
  <c r="F59" i="2"/>
  <c r="H59" i="2" s="1"/>
  <c r="T6" i="2"/>
  <c r="M6" i="2" s="1"/>
  <c r="U11" i="2"/>
  <c r="R13" i="2"/>
  <c r="K19" i="2"/>
  <c r="J24" i="2"/>
  <c r="L25" i="2"/>
  <c r="L28" i="2"/>
  <c r="I28" i="2"/>
  <c r="F34" i="2"/>
  <c r="H34" i="2" s="1"/>
  <c r="J42" i="2"/>
  <c r="L42" i="2" s="1"/>
  <c r="L44" i="2"/>
  <c r="I47" i="2"/>
  <c r="L47" i="2" s="1"/>
  <c r="J58" i="2"/>
  <c r="L58" i="2" s="1"/>
  <c r="L70" i="2"/>
  <c r="L80" i="2"/>
  <c r="L92" i="2"/>
  <c r="L128" i="2"/>
  <c r="E134" i="2"/>
  <c r="F134" i="2" s="1"/>
  <c r="H134" i="2" s="1"/>
  <c r="E57" i="2"/>
  <c r="F57" i="2" s="1"/>
  <c r="H57" i="2" s="1"/>
  <c r="E69" i="2"/>
  <c r="E72" i="2"/>
  <c r="F73" i="2"/>
  <c r="H73" i="2" s="1"/>
  <c r="L76" i="2"/>
  <c r="E78" i="2"/>
  <c r="I119" i="2"/>
  <c r="L119" i="2" s="1"/>
  <c r="L140" i="2"/>
  <c r="L169" i="2"/>
  <c r="F75" i="2"/>
  <c r="H75" i="2" s="1"/>
  <c r="E75" i="2"/>
  <c r="H83" i="2"/>
  <c r="I91" i="2"/>
  <c r="L91" i="2" s="1"/>
  <c r="F91" i="2"/>
  <c r="H91" i="2" s="1"/>
  <c r="E111" i="2"/>
  <c r="I115" i="2"/>
  <c r="L115" i="2" s="1"/>
  <c r="F115" i="2"/>
  <c r="H115" i="2" s="1"/>
  <c r="F119" i="2"/>
  <c r="H119" i="2" s="1"/>
  <c r="L130" i="2"/>
  <c r="L157" i="2"/>
  <c r="E86" i="2"/>
  <c r="F93" i="2"/>
  <c r="H93" i="2" s="1"/>
  <c r="E99" i="2"/>
  <c r="I103" i="2"/>
  <c r="L103" i="2" s="1"/>
  <c r="F103" i="2"/>
  <c r="H103" i="2" s="1"/>
  <c r="F113" i="2"/>
  <c r="H113" i="2" s="1"/>
  <c r="E117" i="2"/>
  <c r="E48" i="2"/>
  <c r="E60" i="2"/>
  <c r="E93" i="2"/>
  <c r="F95" i="2"/>
  <c r="H95" i="2" s="1"/>
  <c r="F101" i="2"/>
  <c r="H101" i="2" s="1"/>
  <c r="E105" i="2"/>
  <c r="F107" i="2"/>
  <c r="H107" i="2" s="1"/>
  <c r="E126" i="2"/>
  <c r="I141" i="2"/>
  <c r="L141" i="2" s="1"/>
  <c r="I73" i="2"/>
  <c r="L73" i="2" s="1"/>
  <c r="I76" i="2"/>
  <c r="I77" i="2"/>
  <c r="F82" i="2"/>
  <c r="H82" i="2" s="1"/>
  <c r="L89" i="2"/>
  <c r="L113" i="2"/>
  <c r="E123" i="2"/>
  <c r="F123" i="2" s="1"/>
  <c r="H123" i="2" s="1"/>
  <c r="L154" i="2"/>
  <c r="H176" i="2"/>
  <c r="I62" i="2"/>
  <c r="L62" i="2" s="1"/>
  <c r="I74" i="2"/>
  <c r="L74" i="2" s="1"/>
  <c r="L101" i="2"/>
  <c r="L151" i="2"/>
  <c r="F158" i="2"/>
  <c r="H158" i="2" s="1"/>
  <c r="E158" i="2"/>
  <c r="E39" i="2"/>
  <c r="F39" i="2" s="1"/>
  <c r="H39" i="2" s="1"/>
  <c r="I43" i="2"/>
  <c r="L43" i="2" s="1"/>
  <c r="E51" i="2"/>
  <c r="F51" i="2" s="1"/>
  <c r="H51" i="2" s="1"/>
  <c r="I55" i="2"/>
  <c r="L55" i="2" s="1"/>
  <c r="E63" i="2"/>
  <c r="I67" i="2"/>
  <c r="L67" i="2" s="1"/>
  <c r="E81" i="2"/>
  <c r="L88" i="2"/>
  <c r="L97" i="2"/>
  <c r="I142" i="2"/>
  <c r="L142" i="2" s="1"/>
  <c r="I112" i="2"/>
  <c r="L112" i="2" s="1"/>
  <c r="F171" i="2"/>
  <c r="H171" i="2" s="1"/>
  <c r="E171" i="2"/>
  <c r="L177" i="2"/>
  <c r="I177" i="2"/>
  <c r="E37" i="2"/>
  <c r="E49" i="2"/>
  <c r="L100" i="2"/>
  <c r="I100" i="2"/>
  <c r="F102" i="2"/>
  <c r="H102" i="2" s="1"/>
  <c r="F110" i="2"/>
  <c r="H110" i="2" s="1"/>
  <c r="E110" i="2"/>
  <c r="I133" i="2"/>
  <c r="L133" i="2" s="1"/>
  <c r="F133" i="2"/>
  <c r="H133" i="2" s="1"/>
  <c r="E155" i="2"/>
  <c r="F155" i="2"/>
  <c r="H155" i="2" s="1"/>
  <c r="I79" i="2"/>
  <c r="L79" i="2" s="1"/>
  <c r="I84" i="2"/>
  <c r="L84" i="2" s="1"/>
  <c r="L96" i="2"/>
  <c r="E98" i="2"/>
  <c r="F100" i="2"/>
  <c r="H100" i="2" s="1"/>
  <c r="I172" i="2"/>
  <c r="L172" i="2" s="1"/>
  <c r="F172" i="2"/>
  <c r="H172" i="2" s="1"/>
  <c r="I136" i="2"/>
  <c r="L136" i="2" s="1"/>
  <c r="L149" i="2"/>
  <c r="L153" i="2"/>
  <c r="I153" i="2"/>
  <c r="E167" i="2"/>
  <c r="F167" i="2" s="1"/>
  <c r="H167" i="2" s="1"/>
  <c r="I129" i="2"/>
  <c r="F136" i="2"/>
  <c r="H136" i="2" s="1"/>
  <c r="L161" i="2"/>
  <c r="I165" i="2"/>
  <c r="L165" i="2" s="1"/>
  <c r="F120" i="2"/>
  <c r="H120" i="2" s="1"/>
  <c r="F138" i="2"/>
  <c r="H138" i="2" s="1"/>
  <c r="F146" i="2"/>
  <c r="H146" i="2" s="1"/>
  <c r="E146" i="2"/>
  <c r="I148" i="2"/>
  <c r="L173" i="2"/>
  <c r="F96" i="2"/>
  <c r="H96" i="2" s="1"/>
  <c r="F108" i="2"/>
  <c r="H108" i="2" s="1"/>
  <c r="E120" i="2"/>
  <c r="F121" i="2"/>
  <c r="H121" i="2" s="1"/>
  <c r="F122" i="2"/>
  <c r="H122" i="2" s="1"/>
  <c r="L125" i="2"/>
  <c r="E131" i="2"/>
  <c r="E138" i="2"/>
  <c r="F141" i="2"/>
  <c r="H141" i="2" s="1"/>
  <c r="F148" i="2"/>
  <c r="H148" i="2" s="1"/>
  <c r="I160" i="2"/>
  <c r="L160" i="2" s="1"/>
  <c r="F177" i="2"/>
  <c r="H177" i="2" s="1"/>
  <c r="E179" i="2"/>
  <c r="F179" i="2"/>
  <c r="H179" i="2" s="1"/>
  <c r="I122" i="2"/>
  <c r="L122" i="2" s="1"/>
  <c r="H128" i="2"/>
  <c r="F135" i="2"/>
  <c r="H135" i="2" s="1"/>
  <c r="E135" i="2"/>
  <c r="L150" i="2"/>
  <c r="I150" i="2"/>
  <c r="F168" i="2"/>
  <c r="H168" i="2" s="1"/>
  <c r="E170" i="2"/>
  <c r="F170" i="2" s="1"/>
  <c r="H170" i="2" s="1"/>
  <c r="I96" i="2"/>
  <c r="I108" i="2"/>
  <c r="I118" i="2"/>
  <c r="L118" i="2" s="1"/>
  <c r="I121" i="2"/>
  <c r="L121" i="2" s="1"/>
  <c r="I124" i="2"/>
  <c r="L124" i="2" s="1"/>
  <c r="I125" i="2"/>
  <c r="E143" i="2"/>
  <c r="F143" i="2" s="1"/>
  <c r="H143" i="2" s="1"/>
  <c r="F152" i="2"/>
  <c r="H152" i="2" s="1"/>
  <c r="I152" i="2"/>
  <c r="L152" i="2" s="1"/>
  <c r="L162" i="2"/>
  <c r="I162" i="2"/>
  <c r="F166" i="2"/>
  <c r="H166" i="2" s="1"/>
  <c r="F174" i="2"/>
  <c r="H174" i="2" s="1"/>
  <c r="E109" i="2"/>
  <c r="F109" i="2" s="1"/>
  <c r="H109" i="2" s="1"/>
  <c r="F124" i="2"/>
  <c r="H124" i="2" s="1"/>
  <c r="F130" i="2"/>
  <c r="H130" i="2" s="1"/>
  <c r="L137" i="2"/>
  <c r="L145" i="2"/>
  <c r="F164" i="2"/>
  <c r="H164" i="2" s="1"/>
  <c r="I164" i="2"/>
  <c r="L164" i="2" s="1"/>
  <c r="L174" i="2"/>
  <c r="I174" i="2"/>
  <c r="E90" i="2"/>
  <c r="F90" i="2" s="1"/>
  <c r="H90" i="2" s="1"/>
  <c r="E102" i="2"/>
  <c r="E114" i="2"/>
  <c r="F127" i="2"/>
  <c r="H127" i="2" s="1"/>
  <c r="E147" i="2"/>
  <c r="E159" i="2"/>
  <c r="F159" i="2" s="1"/>
  <c r="H159" i="2" s="1"/>
  <c r="L176" i="2"/>
  <c r="F178" i="2"/>
  <c r="H178" i="2" s="1"/>
  <c r="E127" i="2"/>
  <c r="E132" i="2"/>
  <c r="E144" i="2"/>
  <c r="F144" i="2" s="1"/>
  <c r="H144" i="2" s="1"/>
  <c r="E156" i="2"/>
  <c r="E168" i="2"/>
  <c r="E180" i="2"/>
  <c r="F180" i="2" s="1"/>
  <c r="H180" i="2" s="1"/>
  <c r="T14" i="2" l="1"/>
  <c r="I132" i="2"/>
  <c r="L132" i="2" s="1"/>
  <c r="I102" i="2"/>
  <c r="L102" i="2" s="1"/>
  <c r="I158" i="2"/>
  <c r="L158" i="2" s="1"/>
  <c r="L85" i="2"/>
  <c r="I156" i="2"/>
  <c r="L156" i="2" s="1"/>
  <c r="I99" i="2"/>
  <c r="L99" i="2"/>
  <c r="I111" i="2"/>
  <c r="L111" i="2"/>
  <c r="I78" i="2"/>
  <c r="L78" i="2" s="1"/>
  <c r="I15" i="2"/>
  <c r="L15" i="2" s="1"/>
  <c r="C19" i="3"/>
  <c r="G182" i="2"/>
  <c r="U7" i="2"/>
  <c r="I179" i="2"/>
  <c r="L179" i="2"/>
  <c r="I120" i="2"/>
  <c r="L120" i="2" s="1"/>
  <c r="L93" i="2"/>
  <c r="I93" i="2"/>
  <c r="F99" i="2"/>
  <c r="H99" i="2" s="1"/>
  <c r="F111" i="2"/>
  <c r="H111" i="2" s="1"/>
  <c r="F78" i="2"/>
  <c r="H78" i="2" s="1"/>
  <c r="J182" i="2"/>
  <c r="N10" i="2"/>
  <c r="U10" i="2"/>
  <c r="I24" i="2"/>
  <c r="L24" i="2"/>
  <c r="L105" i="2"/>
  <c r="I105" i="2"/>
  <c r="H14" i="2"/>
  <c r="I87" i="2"/>
  <c r="L87" i="2" s="1"/>
  <c r="I155" i="2"/>
  <c r="L155" i="2"/>
  <c r="I37" i="2"/>
  <c r="L37" i="2" s="1"/>
  <c r="I48" i="2"/>
  <c r="L48" i="2"/>
  <c r="L86" i="2"/>
  <c r="I86" i="2"/>
  <c r="R182" i="2"/>
  <c r="E182" i="2"/>
  <c r="L26" i="2"/>
  <c r="I26" i="2"/>
  <c r="I131" i="2"/>
  <c r="L131" i="2"/>
  <c r="I123" i="2"/>
  <c r="L123" i="2"/>
  <c r="I36" i="2"/>
  <c r="L36" i="2" s="1"/>
  <c r="I114" i="2"/>
  <c r="L114" i="2" s="1"/>
  <c r="L90" i="2"/>
  <c r="I90" i="2"/>
  <c r="I49" i="2"/>
  <c r="L49" i="2" s="1"/>
  <c r="I60" i="2"/>
  <c r="L60" i="2" s="1"/>
  <c r="L81" i="2"/>
  <c r="I81" i="2"/>
  <c r="F86" i="2"/>
  <c r="H86" i="2" s="1"/>
  <c r="I72" i="2"/>
  <c r="L72" i="2" s="1"/>
  <c r="C13" i="3"/>
  <c r="L83" i="2"/>
  <c r="I23" i="2"/>
  <c r="L23" i="2" s="1"/>
  <c r="I134" i="2"/>
  <c r="L134" i="2" s="1"/>
  <c r="I159" i="2"/>
  <c r="L159" i="2"/>
  <c r="F132" i="2"/>
  <c r="H132" i="2" s="1"/>
  <c r="I117" i="2"/>
  <c r="L117" i="2" s="1"/>
  <c r="I69" i="2"/>
  <c r="L69" i="2" s="1"/>
  <c r="F37" i="2"/>
  <c r="H37" i="2" s="1"/>
  <c r="F156" i="2"/>
  <c r="H156" i="2" s="1"/>
  <c r="F60" i="2"/>
  <c r="H60" i="2" s="1"/>
  <c r="I27" i="2"/>
  <c r="L27" i="2" s="1"/>
  <c r="I127" i="2"/>
  <c r="L127" i="2" s="1"/>
  <c r="I170" i="2"/>
  <c r="L170" i="2" s="1"/>
  <c r="I171" i="2"/>
  <c r="L171" i="2" s="1"/>
  <c r="I63" i="2"/>
  <c r="L63" i="2" s="1"/>
  <c r="I75" i="2"/>
  <c r="L75" i="2"/>
  <c r="I57" i="2"/>
  <c r="L57" i="2" s="1"/>
  <c r="N13" i="2"/>
  <c r="U13" i="2"/>
  <c r="F69" i="2"/>
  <c r="H69" i="2" s="1"/>
  <c r="L45" i="2"/>
  <c r="I45" i="2"/>
  <c r="F27" i="2"/>
  <c r="H27" i="2" s="1"/>
  <c r="F24" i="2"/>
  <c r="H24" i="2" s="1"/>
  <c r="K182" i="2"/>
  <c r="C20" i="3"/>
  <c r="I16" i="2"/>
  <c r="L16" i="2" s="1"/>
  <c r="L144" i="2"/>
  <c r="I144" i="2"/>
  <c r="I39" i="2"/>
  <c r="L39" i="2" s="1"/>
  <c r="N6" i="2"/>
  <c r="U6" i="2"/>
  <c r="F87" i="2"/>
  <c r="H87" i="2" s="1"/>
  <c r="I147" i="2"/>
  <c r="L147" i="2"/>
  <c r="I143" i="2"/>
  <c r="L143" i="2"/>
  <c r="L138" i="2"/>
  <c r="I138" i="2"/>
  <c r="I98" i="2"/>
  <c r="L98" i="2" s="1"/>
  <c r="L126" i="2"/>
  <c r="I126" i="2"/>
  <c r="L14" i="2"/>
  <c r="F81" i="2"/>
  <c r="H81" i="2" s="1"/>
  <c r="F48" i="2"/>
  <c r="H48" i="2" s="1"/>
  <c r="F15" i="2"/>
  <c r="H15" i="2" s="1"/>
  <c r="L109" i="2"/>
  <c r="I109" i="2"/>
  <c r="L180" i="2"/>
  <c r="I180" i="2"/>
  <c r="I167" i="2"/>
  <c r="L167" i="2"/>
  <c r="L168" i="2"/>
  <c r="I168" i="2"/>
  <c r="F147" i="2"/>
  <c r="H147" i="2" s="1"/>
  <c r="I135" i="2"/>
  <c r="L135" i="2" s="1"/>
  <c r="F131" i="2"/>
  <c r="H131" i="2" s="1"/>
  <c r="L146" i="2"/>
  <c r="I146" i="2"/>
  <c r="F98" i="2"/>
  <c r="H98" i="2" s="1"/>
  <c r="I110" i="2"/>
  <c r="L110" i="2" s="1"/>
  <c r="F114" i="2"/>
  <c r="H114" i="2" s="1"/>
  <c r="L51" i="2"/>
  <c r="I51" i="2"/>
  <c r="F126" i="2"/>
  <c r="H126" i="2" s="1"/>
  <c r="F105" i="2"/>
  <c r="H105" i="2" s="1"/>
  <c r="F117" i="2"/>
  <c r="H117" i="2" s="1"/>
  <c r="L64" i="2"/>
  <c r="I64" i="2"/>
  <c r="I52" i="2"/>
  <c r="L52" i="2" s="1"/>
  <c r="M2" i="2"/>
  <c r="L94" i="2"/>
  <c r="L163" i="2"/>
  <c r="F23" i="2"/>
  <c r="H23" i="2" s="1"/>
  <c r="N15" i="2" l="1"/>
  <c r="I182" i="2"/>
  <c r="C14" i="3"/>
  <c r="C18" i="3"/>
  <c r="H182" i="2"/>
  <c r="F182" i="2"/>
  <c r="N2" i="2"/>
  <c r="U2" i="2"/>
  <c r="L182" i="2"/>
  <c r="N14" i="2"/>
  <c r="M15" i="2"/>
  <c r="S15" i="2" s="1"/>
  <c r="T15" i="2" s="1"/>
  <c r="M16" i="2" l="1"/>
  <c r="O15" i="2"/>
  <c r="P15" i="2" s="1"/>
  <c r="U15" i="2" s="1"/>
  <c r="O14" i="2"/>
  <c r="V2" i="2"/>
  <c r="V3" i="2" l="1"/>
  <c r="V4" i="2" s="1"/>
  <c r="V5" i="2" s="1"/>
  <c r="V6" i="2" s="1"/>
  <c r="V7" i="2" s="1"/>
  <c r="V8" i="2" s="1"/>
  <c r="V9" i="2" s="1"/>
  <c r="P14" i="2"/>
  <c r="S16" i="2"/>
  <c r="N16" i="2"/>
  <c r="T16" i="2" l="1"/>
  <c r="U14" i="2"/>
  <c r="O16" i="2"/>
  <c r="C15" i="4"/>
  <c r="V10" i="2"/>
  <c r="V11" i="2" s="1"/>
  <c r="V12" i="2" s="1"/>
  <c r="V13" i="2" s="1"/>
  <c r="V14" i="2" s="1"/>
  <c r="V15" i="2" s="1"/>
  <c r="P16" i="2" l="1"/>
  <c r="M17" i="2"/>
  <c r="U16" i="2" l="1"/>
  <c r="S17" i="2"/>
  <c r="N17" i="2"/>
  <c r="O17" i="2" l="1"/>
  <c r="P17" i="2"/>
  <c r="T17" i="2"/>
  <c r="V16" i="2"/>
  <c r="M18" i="2" l="1"/>
  <c r="U17" i="2"/>
  <c r="V17" i="2" l="1"/>
  <c r="S18" i="2"/>
  <c r="T18" i="2" s="1"/>
  <c r="N18" i="2"/>
  <c r="M19" i="2" l="1"/>
  <c r="O18" i="2"/>
  <c r="P18" i="2" s="1"/>
  <c r="U18" i="2" l="1"/>
  <c r="S19" i="2"/>
  <c r="T19" i="2" s="1"/>
  <c r="N19" i="2"/>
  <c r="M20" i="2" l="1"/>
  <c r="O19" i="2"/>
  <c r="V18" i="2"/>
  <c r="P19" i="2" l="1"/>
  <c r="S20" i="2"/>
  <c r="T20" i="2" s="1"/>
  <c r="N20" i="2"/>
  <c r="O20" i="2" l="1"/>
  <c r="P20" i="2" s="1"/>
  <c r="U20" i="2" s="1"/>
  <c r="M21" i="2"/>
  <c r="U19" i="2"/>
  <c r="V19" i="2" s="1"/>
  <c r="V20" i="2" l="1"/>
  <c r="S21" i="2"/>
  <c r="T21" i="2" s="1"/>
  <c r="N21" i="2"/>
  <c r="O21" i="2" l="1"/>
  <c r="P21" i="2" s="1"/>
  <c r="U21" i="2" s="1"/>
  <c r="V21" i="2" s="1"/>
  <c r="M22" i="2"/>
  <c r="S22" i="2" l="1"/>
  <c r="T22" i="2" s="1"/>
  <c r="N22" i="2"/>
  <c r="O22" i="2" l="1"/>
  <c r="P22" i="2" s="1"/>
  <c r="U22" i="2" s="1"/>
  <c r="V22" i="2" s="1"/>
  <c r="M23" i="2"/>
  <c r="S23" i="2" l="1"/>
  <c r="T23" i="2" s="1"/>
  <c r="N23" i="2"/>
  <c r="M24" i="2" l="1"/>
  <c r="O23" i="2"/>
  <c r="P23" i="2"/>
  <c r="U23" i="2" s="1"/>
  <c r="V23" i="2" s="1"/>
  <c r="S24" i="2" l="1"/>
  <c r="T24" i="2" s="1"/>
  <c r="N24" i="2"/>
  <c r="M25" i="2" l="1"/>
  <c r="O24" i="2"/>
  <c r="P24" i="2" s="1"/>
  <c r="U24" i="2" s="1"/>
  <c r="V24" i="2" s="1"/>
  <c r="S25" i="2" l="1"/>
  <c r="T25" i="2" s="1"/>
  <c r="N25" i="2"/>
  <c r="M26" i="2" l="1"/>
  <c r="O25" i="2"/>
  <c r="P25" i="2" s="1"/>
  <c r="U25" i="2" s="1"/>
  <c r="V25" i="2" s="1"/>
  <c r="S26" i="2" l="1"/>
  <c r="T26" i="2" s="1"/>
  <c r="N26" i="2"/>
  <c r="O26" i="2" l="1"/>
  <c r="P26" i="2" s="1"/>
  <c r="U26" i="2" s="1"/>
  <c r="V26" i="2" s="1"/>
  <c r="M27" i="2"/>
  <c r="S27" i="2" l="1"/>
  <c r="T27" i="2" s="1"/>
  <c r="N27" i="2"/>
  <c r="O27" i="2" l="1"/>
  <c r="P27" i="2" s="1"/>
  <c r="U27" i="2" s="1"/>
  <c r="V27" i="2" s="1"/>
  <c r="M28" i="2"/>
  <c r="S28" i="2" l="1"/>
  <c r="T28" i="2" s="1"/>
  <c r="N28" i="2"/>
  <c r="O28" i="2" l="1"/>
  <c r="P28" i="2" s="1"/>
  <c r="U28" i="2" s="1"/>
  <c r="V28" i="2" s="1"/>
  <c r="M29" i="2"/>
  <c r="S29" i="2" l="1"/>
  <c r="T29" i="2" s="1"/>
  <c r="N29" i="2"/>
  <c r="O29" i="2" l="1"/>
  <c r="P29" i="2" s="1"/>
  <c r="U29" i="2" s="1"/>
  <c r="V29" i="2" s="1"/>
  <c r="M30" i="2"/>
  <c r="S30" i="2" l="1"/>
  <c r="T30" i="2" s="1"/>
  <c r="N30" i="2"/>
  <c r="M31" i="2" l="1"/>
  <c r="O30" i="2"/>
  <c r="P30" i="2" s="1"/>
  <c r="U30" i="2" s="1"/>
  <c r="V30" i="2" s="1"/>
  <c r="S31" i="2" l="1"/>
  <c r="T31" i="2" s="1"/>
  <c r="N31" i="2"/>
  <c r="O31" i="2" l="1"/>
  <c r="P31" i="2" s="1"/>
  <c r="U31" i="2" s="1"/>
  <c r="V31" i="2" s="1"/>
  <c r="M32" i="2"/>
  <c r="S32" i="2" l="1"/>
  <c r="T32" i="2" s="1"/>
  <c r="N32" i="2"/>
  <c r="O32" i="2" l="1"/>
  <c r="P32" i="2" s="1"/>
  <c r="U32" i="2" s="1"/>
  <c r="V32" i="2" s="1"/>
  <c r="M33" i="2"/>
  <c r="S33" i="2" l="1"/>
  <c r="T33" i="2" s="1"/>
  <c r="N33" i="2"/>
  <c r="O33" i="2" l="1"/>
  <c r="P33" i="2" s="1"/>
  <c r="U33" i="2" s="1"/>
  <c r="V33" i="2" s="1"/>
  <c r="M34" i="2"/>
  <c r="S34" i="2" l="1"/>
  <c r="T34" i="2" s="1"/>
  <c r="N34" i="2"/>
  <c r="O34" i="2" l="1"/>
  <c r="P34" i="2" s="1"/>
  <c r="U34" i="2" s="1"/>
  <c r="V34" i="2" s="1"/>
  <c r="M35" i="2"/>
  <c r="S35" i="2" l="1"/>
  <c r="T35" i="2" s="1"/>
  <c r="N35" i="2"/>
  <c r="O35" i="2" l="1"/>
  <c r="P35" i="2" s="1"/>
  <c r="U35" i="2" s="1"/>
  <c r="V35" i="2" s="1"/>
  <c r="M36" i="2"/>
  <c r="S36" i="2" l="1"/>
  <c r="T36" i="2" s="1"/>
  <c r="N36" i="2"/>
  <c r="O36" i="2" l="1"/>
  <c r="P36" i="2" s="1"/>
  <c r="U36" i="2" s="1"/>
  <c r="V36" i="2" s="1"/>
  <c r="M37" i="2"/>
  <c r="S37" i="2" l="1"/>
  <c r="T37" i="2" s="1"/>
  <c r="N37" i="2"/>
  <c r="O37" i="2" l="1"/>
  <c r="P37" i="2" s="1"/>
  <c r="U37" i="2" s="1"/>
  <c r="V37" i="2" s="1"/>
  <c r="M38" i="2"/>
  <c r="S38" i="2" l="1"/>
  <c r="T38" i="2" s="1"/>
  <c r="N38" i="2"/>
  <c r="O38" i="2" l="1"/>
  <c r="P38" i="2" s="1"/>
  <c r="U38" i="2" s="1"/>
  <c r="V38" i="2" s="1"/>
  <c r="M39" i="2"/>
  <c r="S39" i="2" l="1"/>
  <c r="T39" i="2" s="1"/>
  <c r="N39" i="2"/>
  <c r="O39" i="2" l="1"/>
  <c r="P39" i="2" s="1"/>
  <c r="U39" i="2" s="1"/>
  <c r="V39" i="2" s="1"/>
  <c r="M40" i="2"/>
  <c r="S40" i="2" l="1"/>
  <c r="T40" i="2" s="1"/>
  <c r="N40" i="2"/>
  <c r="O40" i="2" l="1"/>
  <c r="P40" i="2" s="1"/>
  <c r="U40" i="2" s="1"/>
  <c r="V40" i="2" s="1"/>
  <c r="M41" i="2"/>
  <c r="S41" i="2" l="1"/>
  <c r="T41" i="2" s="1"/>
  <c r="N41" i="2"/>
  <c r="O41" i="2" l="1"/>
  <c r="P41" i="2" s="1"/>
  <c r="U41" i="2" s="1"/>
  <c r="V41" i="2" s="1"/>
  <c r="M42" i="2"/>
  <c r="S42" i="2" l="1"/>
  <c r="T42" i="2" s="1"/>
  <c r="N42" i="2"/>
  <c r="O42" i="2" l="1"/>
  <c r="P42" i="2" s="1"/>
  <c r="U42" i="2" s="1"/>
  <c r="V42" i="2" s="1"/>
  <c r="M43" i="2"/>
  <c r="S43" i="2" l="1"/>
  <c r="T43" i="2" s="1"/>
  <c r="N43" i="2"/>
  <c r="O43" i="2" l="1"/>
  <c r="P43" i="2" s="1"/>
  <c r="U43" i="2" s="1"/>
  <c r="V43" i="2" s="1"/>
  <c r="M44" i="2"/>
  <c r="S44" i="2" l="1"/>
  <c r="T44" i="2" s="1"/>
  <c r="N44" i="2"/>
  <c r="O44" i="2" l="1"/>
  <c r="P44" i="2" s="1"/>
  <c r="U44" i="2" s="1"/>
  <c r="V44" i="2" s="1"/>
  <c r="M45" i="2"/>
  <c r="S45" i="2" l="1"/>
  <c r="T45" i="2" s="1"/>
  <c r="N45" i="2"/>
  <c r="O45" i="2" l="1"/>
  <c r="P45" i="2" s="1"/>
  <c r="U45" i="2" s="1"/>
  <c r="V45" i="2" s="1"/>
  <c r="M46" i="2"/>
  <c r="S46" i="2" l="1"/>
  <c r="T46" i="2" s="1"/>
  <c r="N46" i="2"/>
  <c r="M47" i="2" l="1"/>
  <c r="O46" i="2"/>
  <c r="P46" i="2" s="1"/>
  <c r="U46" i="2" s="1"/>
  <c r="V46" i="2" s="1"/>
  <c r="S47" i="2" l="1"/>
  <c r="T47" i="2" s="1"/>
  <c r="N47" i="2"/>
  <c r="O47" i="2" l="1"/>
  <c r="P47" i="2" s="1"/>
  <c r="U47" i="2" s="1"/>
  <c r="V47" i="2" s="1"/>
  <c r="M48" i="2"/>
  <c r="S48" i="2" l="1"/>
  <c r="T48" i="2" s="1"/>
  <c r="N48" i="2"/>
  <c r="O48" i="2" l="1"/>
  <c r="P48" i="2" s="1"/>
  <c r="U48" i="2" s="1"/>
  <c r="V48" i="2" s="1"/>
  <c r="M49" i="2"/>
  <c r="S49" i="2" l="1"/>
  <c r="T49" i="2" s="1"/>
  <c r="N49" i="2"/>
  <c r="O49" i="2" l="1"/>
  <c r="P49" i="2" s="1"/>
  <c r="U49" i="2" s="1"/>
  <c r="V49" i="2" s="1"/>
  <c r="M50" i="2"/>
  <c r="S50" i="2" l="1"/>
  <c r="T50" i="2" s="1"/>
  <c r="N50" i="2"/>
  <c r="O50" i="2" l="1"/>
  <c r="P50" i="2" s="1"/>
  <c r="U50" i="2" s="1"/>
  <c r="V50" i="2" s="1"/>
  <c r="M51" i="2"/>
  <c r="S51" i="2" l="1"/>
  <c r="T51" i="2" s="1"/>
  <c r="N51" i="2"/>
  <c r="O51" i="2" l="1"/>
  <c r="P51" i="2" s="1"/>
  <c r="U51" i="2" s="1"/>
  <c r="V51" i="2" s="1"/>
  <c r="M52" i="2"/>
  <c r="S52" i="2" l="1"/>
  <c r="T52" i="2" s="1"/>
  <c r="N52" i="2"/>
  <c r="M53" i="2" l="1"/>
  <c r="O52" i="2"/>
  <c r="P52" i="2" s="1"/>
  <c r="U52" i="2" s="1"/>
  <c r="V52" i="2" s="1"/>
  <c r="S53" i="2" l="1"/>
  <c r="T53" i="2" s="1"/>
  <c r="N53" i="2"/>
  <c r="M54" i="2" l="1"/>
  <c r="O53" i="2"/>
  <c r="P53" i="2" s="1"/>
  <c r="U53" i="2" s="1"/>
  <c r="V53" i="2" s="1"/>
  <c r="S54" i="2" l="1"/>
  <c r="T54" i="2" s="1"/>
  <c r="N54" i="2"/>
  <c r="O54" i="2" l="1"/>
  <c r="P54" i="2" s="1"/>
  <c r="U54" i="2" s="1"/>
  <c r="V54" i="2" s="1"/>
  <c r="M55" i="2"/>
  <c r="S55" i="2" l="1"/>
  <c r="T55" i="2" s="1"/>
  <c r="N55" i="2"/>
  <c r="M56" i="2" l="1"/>
  <c r="O55" i="2"/>
  <c r="P55" i="2" s="1"/>
  <c r="U55" i="2" s="1"/>
  <c r="V55" i="2" s="1"/>
  <c r="S56" i="2" l="1"/>
  <c r="T56" i="2" s="1"/>
  <c r="N56" i="2"/>
  <c r="O56" i="2" l="1"/>
  <c r="P56" i="2" s="1"/>
  <c r="U56" i="2" s="1"/>
  <c r="V56" i="2" s="1"/>
  <c r="M57" i="2"/>
  <c r="S57" i="2" l="1"/>
  <c r="T57" i="2" s="1"/>
  <c r="N57" i="2"/>
  <c r="M58" i="2" l="1"/>
  <c r="O57" i="2"/>
  <c r="P57" i="2" s="1"/>
  <c r="U57" i="2" s="1"/>
  <c r="V57" i="2" s="1"/>
  <c r="S58" i="2" l="1"/>
  <c r="T58" i="2" s="1"/>
  <c r="N58" i="2"/>
  <c r="M59" i="2" l="1"/>
  <c r="O58" i="2"/>
  <c r="P58" i="2" s="1"/>
  <c r="U58" i="2" s="1"/>
  <c r="V58" i="2" s="1"/>
  <c r="S59" i="2" l="1"/>
  <c r="T59" i="2" s="1"/>
  <c r="N59" i="2"/>
  <c r="O59" i="2" l="1"/>
  <c r="P59" i="2" s="1"/>
  <c r="U59" i="2" s="1"/>
  <c r="V59" i="2" s="1"/>
  <c r="M60" i="2"/>
  <c r="S60" i="2" l="1"/>
  <c r="T60" i="2" s="1"/>
  <c r="N60" i="2"/>
  <c r="O60" i="2" l="1"/>
  <c r="P60" i="2" s="1"/>
  <c r="U60" i="2" s="1"/>
  <c r="V60" i="2" s="1"/>
  <c r="M61" i="2"/>
  <c r="S61" i="2" l="1"/>
  <c r="T61" i="2" s="1"/>
  <c r="N61" i="2"/>
  <c r="O61" i="2" l="1"/>
  <c r="P61" i="2" s="1"/>
  <c r="U61" i="2" s="1"/>
  <c r="V61" i="2" s="1"/>
  <c r="M62" i="2"/>
  <c r="S62" i="2" l="1"/>
  <c r="T62" i="2" s="1"/>
  <c r="N62" i="2"/>
  <c r="O62" i="2" l="1"/>
  <c r="P62" i="2" s="1"/>
  <c r="U62" i="2" s="1"/>
  <c r="V62" i="2" s="1"/>
  <c r="M63" i="2"/>
  <c r="S63" i="2" l="1"/>
  <c r="T63" i="2" s="1"/>
  <c r="N63" i="2"/>
  <c r="O63" i="2" l="1"/>
  <c r="P63" i="2" s="1"/>
  <c r="U63" i="2" s="1"/>
  <c r="V63" i="2" s="1"/>
  <c r="M64" i="2"/>
  <c r="S64" i="2" l="1"/>
  <c r="T64" i="2" s="1"/>
  <c r="N64" i="2"/>
  <c r="O64" i="2" l="1"/>
  <c r="P64" i="2" s="1"/>
  <c r="U64" i="2" s="1"/>
  <c r="V64" i="2" s="1"/>
  <c r="M65" i="2"/>
  <c r="S65" i="2" l="1"/>
  <c r="T65" i="2" s="1"/>
  <c r="N65" i="2"/>
  <c r="O65" i="2" l="1"/>
  <c r="P65" i="2" s="1"/>
  <c r="U65" i="2" s="1"/>
  <c r="V65" i="2" s="1"/>
  <c r="M66" i="2"/>
  <c r="S66" i="2" l="1"/>
  <c r="T66" i="2" s="1"/>
  <c r="N66" i="2"/>
  <c r="O66" i="2" l="1"/>
  <c r="P66" i="2" s="1"/>
  <c r="U66" i="2" s="1"/>
  <c r="V66" i="2" s="1"/>
  <c r="M67" i="2"/>
  <c r="S67" i="2" l="1"/>
  <c r="T67" i="2" s="1"/>
  <c r="N67" i="2"/>
  <c r="O67" i="2" l="1"/>
  <c r="P67" i="2" s="1"/>
  <c r="U67" i="2" s="1"/>
  <c r="V67" i="2" s="1"/>
  <c r="M68" i="2"/>
  <c r="S68" i="2" l="1"/>
  <c r="T68" i="2" s="1"/>
  <c r="N68" i="2"/>
  <c r="O68" i="2" l="1"/>
  <c r="P68" i="2" s="1"/>
  <c r="U68" i="2" s="1"/>
  <c r="V68" i="2" s="1"/>
  <c r="M69" i="2"/>
  <c r="S69" i="2" l="1"/>
  <c r="T69" i="2" s="1"/>
  <c r="N69" i="2"/>
  <c r="O69" i="2" l="1"/>
  <c r="P69" i="2" s="1"/>
  <c r="U69" i="2" s="1"/>
  <c r="V69" i="2" s="1"/>
  <c r="M70" i="2"/>
  <c r="S70" i="2" l="1"/>
  <c r="T70" i="2" s="1"/>
  <c r="N70" i="2"/>
  <c r="O70" i="2" l="1"/>
  <c r="P70" i="2" s="1"/>
  <c r="U70" i="2" s="1"/>
  <c r="V70" i="2" s="1"/>
  <c r="M71" i="2"/>
  <c r="S71" i="2" l="1"/>
  <c r="T71" i="2" s="1"/>
  <c r="N71" i="2"/>
  <c r="O71" i="2" l="1"/>
  <c r="P71" i="2" s="1"/>
  <c r="U71" i="2" s="1"/>
  <c r="V71" i="2" s="1"/>
  <c r="M72" i="2"/>
  <c r="S72" i="2" l="1"/>
  <c r="T72" i="2" s="1"/>
  <c r="N72" i="2"/>
  <c r="O72" i="2" l="1"/>
  <c r="P72" i="2" s="1"/>
  <c r="U72" i="2" s="1"/>
  <c r="V72" i="2" s="1"/>
  <c r="M73" i="2"/>
  <c r="S73" i="2" l="1"/>
  <c r="T73" i="2" s="1"/>
  <c r="N73" i="2"/>
  <c r="O73" i="2" l="1"/>
  <c r="P73" i="2" s="1"/>
  <c r="U73" i="2" s="1"/>
  <c r="V73" i="2" s="1"/>
  <c r="M74" i="2"/>
  <c r="S74" i="2" l="1"/>
  <c r="T74" i="2" s="1"/>
  <c r="N74" i="2"/>
  <c r="O74" i="2" l="1"/>
  <c r="P74" i="2" s="1"/>
  <c r="U74" i="2" s="1"/>
  <c r="V74" i="2" s="1"/>
  <c r="M75" i="2"/>
  <c r="S75" i="2" l="1"/>
  <c r="T75" i="2" s="1"/>
  <c r="N75" i="2"/>
  <c r="O75" i="2" l="1"/>
  <c r="P75" i="2" s="1"/>
  <c r="U75" i="2" s="1"/>
  <c r="V75" i="2" s="1"/>
  <c r="M76" i="2"/>
  <c r="S76" i="2" l="1"/>
  <c r="T76" i="2" s="1"/>
  <c r="N76" i="2"/>
  <c r="O76" i="2" l="1"/>
  <c r="P76" i="2" s="1"/>
  <c r="U76" i="2" s="1"/>
  <c r="V76" i="2" s="1"/>
  <c r="M77" i="2"/>
  <c r="S77" i="2" l="1"/>
  <c r="T77" i="2" s="1"/>
  <c r="N77" i="2"/>
  <c r="O77" i="2" l="1"/>
  <c r="P77" i="2" s="1"/>
  <c r="U77" i="2" s="1"/>
  <c r="V77" i="2" s="1"/>
  <c r="M78" i="2"/>
  <c r="S78" i="2" l="1"/>
  <c r="T78" i="2" s="1"/>
  <c r="N78" i="2"/>
  <c r="O78" i="2" l="1"/>
  <c r="P78" i="2" s="1"/>
  <c r="U78" i="2" s="1"/>
  <c r="V78" i="2" s="1"/>
  <c r="M79" i="2"/>
  <c r="S79" i="2" l="1"/>
  <c r="T79" i="2" s="1"/>
  <c r="N79" i="2"/>
  <c r="O79" i="2" l="1"/>
  <c r="P79" i="2" s="1"/>
  <c r="U79" i="2" s="1"/>
  <c r="V79" i="2" s="1"/>
  <c r="M80" i="2"/>
  <c r="S80" i="2" l="1"/>
  <c r="T80" i="2" s="1"/>
  <c r="N80" i="2"/>
  <c r="O80" i="2" l="1"/>
  <c r="P80" i="2" s="1"/>
  <c r="U80" i="2" s="1"/>
  <c r="V80" i="2" s="1"/>
  <c r="M81" i="2"/>
  <c r="S81" i="2" l="1"/>
  <c r="T81" i="2" s="1"/>
  <c r="N81" i="2"/>
  <c r="O81" i="2" l="1"/>
  <c r="P81" i="2" s="1"/>
  <c r="U81" i="2" s="1"/>
  <c r="V81" i="2" s="1"/>
  <c r="M82" i="2"/>
  <c r="S82" i="2" l="1"/>
  <c r="T82" i="2" s="1"/>
  <c r="N82" i="2"/>
  <c r="O82" i="2" l="1"/>
  <c r="P82" i="2" s="1"/>
  <c r="U82" i="2" s="1"/>
  <c r="V82" i="2" s="1"/>
  <c r="M83" i="2"/>
  <c r="S83" i="2" l="1"/>
  <c r="T83" i="2" s="1"/>
  <c r="N83" i="2"/>
  <c r="O83" i="2" l="1"/>
  <c r="P83" i="2" s="1"/>
  <c r="U83" i="2" s="1"/>
  <c r="V83" i="2" s="1"/>
  <c r="M84" i="2"/>
  <c r="S84" i="2" l="1"/>
  <c r="T84" i="2" s="1"/>
  <c r="N84" i="2"/>
  <c r="O84" i="2" l="1"/>
  <c r="P84" i="2" s="1"/>
  <c r="U84" i="2" s="1"/>
  <c r="V84" i="2" s="1"/>
  <c r="M85" i="2"/>
  <c r="S85" i="2" l="1"/>
  <c r="T85" i="2" s="1"/>
  <c r="N85" i="2"/>
  <c r="O85" i="2" l="1"/>
  <c r="P85" i="2" s="1"/>
  <c r="U85" i="2" s="1"/>
  <c r="V85" i="2" s="1"/>
  <c r="M86" i="2"/>
  <c r="S86" i="2" l="1"/>
  <c r="T86" i="2" s="1"/>
  <c r="N86" i="2"/>
  <c r="O86" i="2" l="1"/>
  <c r="P86" i="2" s="1"/>
  <c r="U86" i="2" s="1"/>
  <c r="V86" i="2" s="1"/>
  <c r="M87" i="2"/>
  <c r="S87" i="2" l="1"/>
  <c r="T87" i="2" s="1"/>
  <c r="N87" i="2"/>
  <c r="O87" i="2" l="1"/>
  <c r="P87" i="2" s="1"/>
  <c r="U87" i="2" s="1"/>
  <c r="V87" i="2" s="1"/>
  <c r="M88" i="2"/>
  <c r="S88" i="2" l="1"/>
  <c r="T88" i="2" s="1"/>
  <c r="N88" i="2"/>
  <c r="O88" i="2" l="1"/>
  <c r="P88" i="2" s="1"/>
  <c r="U88" i="2" s="1"/>
  <c r="V88" i="2" s="1"/>
  <c r="M89" i="2"/>
  <c r="S89" i="2" l="1"/>
  <c r="T89" i="2" s="1"/>
  <c r="N89" i="2"/>
  <c r="O89" i="2" l="1"/>
  <c r="P89" i="2" s="1"/>
  <c r="U89" i="2" s="1"/>
  <c r="V89" i="2" s="1"/>
  <c r="M90" i="2"/>
  <c r="S90" i="2" l="1"/>
  <c r="T90" i="2" s="1"/>
  <c r="N90" i="2"/>
  <c r="O90" i="2" l="1"/>
  <c r="P90" i="2" s="1"/>
  <c r="U90" i="2" s="1"/>
  <c r="V90" i="2" s="1"/>
  <c r="M91" i="2"/>
  <c r="S91" i="2" l="1"/>
  <c r="T91" i="2" s="1"/>
  <c r="N91" i="2"/>
  <c r="O91" i="2" l="1"/>
  <c r="P91" i="2" s="1"/>
  <c r="U91" i="2" s="1"/>
  <c r="V91" i="2" s="1"/>
  <c r="M92" i="2"/>
  <c r="S92" i="2" l="1"/>
  <c r="T92" i="2" s="1"/>
  <c r="N92" i="2"/>
  <c r="O92" i="2" l="1"/>
  <c r="P92" i="2" s="1"/>
  <c r="U92" i="2" s="1"/>
  <c r="V92" i="2" s="1"/>
  <c r="M93" i="2"/>
  <c r="S93" i="2" l="1"/>
  <c r="T93" i="2" s="1"/>
  <c r="N93" i="2"/>
  <c r="O93" i="2" l="1"/>
  <c r="P93" i="2" s="1"/>
  <c r="U93" i="2" s="1"/>
  <c r="V93" i="2" s="1"/>
  <c r="M94" i="2"/>
  <c r="S94" i="2" l="1"/>
  <c r="T94" i="2" s="1"/>
  <c r="N94" i="2"/>
  <c r="O94" i="2" l="1"/>
  <c r="P94" i="2" s="1"/>
  <c r="U94" i="2" s="1"/>
  <c r="V94" i="2" s="1"/>
  <c r="M95" i="2"/>
  <c r="S95" i="2" l="1"/>
  <c r="T95" i="2" s="1"/>
  <c r="N95" i="2"/>
  <c r="M96" i="2" l="1"/>
  <c r="O95" i="2"/>
  <c r="P95" i="2" s="1"/>
  <c r="U95" i="2" s="1"/>
  <c r="V95" i="2" s="1"/>
  <c r="S96" i="2" l="1"/>
  <c r="T96" i="2" s="1"/>
  <c r="N96" i="2"/>
  <c r="O96" i="2" l="1"/>
  <c r="P96" i="2" s="1"/>
  <c r="U96" i="2" s="1"/>
  <c r="V96" i="2" s="1"/>
  <c r="M97" i="2"/>
  <c r="S97" i="2" l="1"/>
  <c r="T97" i="2" s="1"/>
  <c r="N97" i="2"/>
  <c r="O97" i="2" l="1"/>
  <c r="P97" i="2" s="1"/>
  <c r="U97" i="2" s="1"/>
  <c r="V97" i="2" s="1"/>
  <c r="M98" i="2"/>
  <c r="S98" i="2" l="1"/>
  <c r="T98" i="2" s="1"/>
  <c r="N98" i="2"/>
  <c r="O98" i="2" l="1"/>
  <c r="P98" i="2" s="1"/>
  <c r="U98" i="2" s="1"/>
  <c r="V98" i="2" s="1"/>
  <c r="M99" i="2"/>
  <c r="S99" i="2" l="1"/>
  <c r="T99" i="2" s="1"/>
  <c r="N99" i="2"/>
  <c r="O99" i="2" l="1"/>
  <c r="P99" i="2"/>
  <c r="U99" i="2" s="1"/>
  <c r="V99" i="2" s="1"/>
  <c r="M100" i="2"/>
  <c r="S100" i="2" l="1"/>
  <c r="T100" i="2" s="1"/>
  <c r="N100" i="2"/>
  <c r="O100" i="2" l="1"/>
  <c r="P100" i="2" s="1"/>
  <c r="U100" i="2" s="1"/>
  <c r="V100" i="2" s="1"/>
  <c r="M101" i="2"/>
  <c r="S101" i="2" l="1"/>
  <c r="T101" i="2" s="1"/>
  <c r="N101" i="2"/>
  <c r="O101" i="2" l="1"/>
  <c r="P101" i="2" s="1"/>
  <c r="U101" i="2" s="1"/>
  <c r="V101" i="2" s="1"/>
  <c r="M102" i="2"/>
  <c r="S102" i="2" l="1"/>
  <c r="T102" i="2" s="1"/>
  <c r="N102" i="2"/>
  <c r="O102" i="2" l="1"/>
  <c r="P102" i="2" s="1"/>
  <c r="U102" i="2" s="1"/>
  <c r="V102" i="2" s="1"/>
  <c r="M103" i="2"/>
  <c r="S103" i="2" l="1"/>
  <c r="T103" i="2" s="1"/>
  <c r="N103" i="2"/>
  <c r="O103" i="2" l="1"/>
  <c r="P103" i="2" s="1"/>
  <c r="U103" i="2" s="1"/>
  <c r="V103" i="2" s="1"/>
  <c r="M104" i="2"/>
  <c r="S104" i="2" l="1"/>
  <c r="T104" i="2" s="1"/>
  <c r="N104" i="2"/>
  <c r="O104" i="2" l="1"/>
  <c r="P104" i="2" s="1"/>
  <c r="U104" i="2" s="1"/>
  <c r="V104" i="2" s="1"/>
  <c r="M105" i="2"/>
  <c r="S105" i="2" l="1"/>
  <c r="T105" i="2" s="1"/>
  <c r="N105" i="2"/>
  <c r="O105" i="2" l="1"/>
  <c r="P105" i="2" s="1"/>
  <c r="U105" i="2" s="1"/>
  <c r="V105" i="2" s="1"/>
  <c r="M106" i="2"/>
  <c r="S106" i="2" l="1"/>
  <c r="T106" i="2" s="1"/>
  <c r="N106" i="2"/>
  <c r="O106" i="2" l="1"/>
  <c r="P106" i="2" s="1"/>
  <c r="U106" i="2" s="1"/>
  <c r="V106" i="2" s="1"/>
  <c r="M107" i="2"/>
  <c r="S107" i="2" l="1"/>
  <c r="T107" i="2" s="1"/>
  <c r="N107" i="2"/>
  <c r="O107" i="2" l="1"/>
  <c r="P107" i="2" s="1"/>
  <c r="U107" i="2" s="1"/>
  <c r="V107" i="2" s="1"/>
  <c r="M108" i="2"/>
  <c r="S108" i="2" l="1"/>
  <c r="T108" i="2" s="1"/>
  <c r="N108" i="2"/>
  <c r="O108" i="2" l="1"/>
  <c r="P108" i="2" s="1"/>
  <c r="U108" i="2" s="1"/>
  <c r="V108" i="2" s="1"/>
  <c r="M109" i="2"/>
  <c r="S109" i="2" l="1"/>
  <c r="T109" i="2" s="1"/>
  <c r="N109" i="2"/>
  <c r="O109" i="2" l="1"/>
  <c r="P109" i="2" s="1"/>
  <c r="U109" i="2" s="1"/>
  <c r="V109" i="2" s="1"/>
  <c r="M110" i="2"/>
  <c r="S110" i="2" l="1"/>
  <c r="T110" i="2" s="1"/>
  <c r="N110" i="2"/>
  <c r="O110" i="2" l="1"/>
  <c r="P110" i="2" s="1"/>
  <c r="U110" i="2" s="1"/>
  <c r="V110" i="2" s="1"/>
  <c r="M111" i="2"/>
  <c r="S111" i="2" l="1"/>
  <c r="T111" i="2" s="1"/>
  <c r="N111" i="2"/>
  <c r="O111" i="2" l="1"/>
  <c r="P111" i="2" s="1"/>
  <c r="U111" i="2" s="1"/>
  <c r="V111" i="2" s="1"/>
  <c r="M112" i="2"/>
  <c r="S112" i="2" l="1"/>
  <c r="T112" i="2" s="1"/>
  <c r="N112" i="2"/>
  <c r="O112" i="2" l="1"/>
  <c r="P112" i="2" s="1"/>
  <c r="U112" i="2" s="1"/>
  <c r="V112" i="2" s="1"/>
  <c r="M113" i="2"/>
  <c r="S113" i="2" l="1"/>
  <c r="T113" i="2" s="1"/>
  <c r="N113" i="2"/>
  <c r="O113" i="2" l="1"/>
  <c r="P113" i="2" s="1"/>
  <c r="U113" i="2" s="1"/>
  <c r="V113" i="2" s="1"/>
  <c r="M114" i="2"/>
  <c r="S114" i="2" l="1"/>
  <c r="T114" i="2" s="1"/>
  <c r="N114" i="2"/>
  <c r="O114" i="2" l="1"/>
  <c r="P114" i="2" s="1"/>
  <c r="U114" i="2" s="1"/>
  <c r="V114" i="2" s="1"/>
  <c r="M115" i="2"/>
  <c r="S115" i="2" l="1"/>
  <c r="T115" i="2" s="1"/>
  <c r="N115" i="2"/>
  <c r="M116" i="2" l="1"/>
  <c r="O115" i="2"/>
  <c r="P115" i="2" s="1"/>
  <c r="U115" i="2" s="1"/>
  <c r="V115" i="2" s="1"/>
  <c r="S116" i="2" l="1"/>
  <c r="T116" i="2" s="1"/>
  <c r="N116" i="2"/>
  <c r="O116" i="2" l="1"/>
  <c r="P116" i="2" s="1"/>
  <c r="U116" i="2" s="1"/>
  <c r="V116" i="2" s="1"/>
  <c r="M117" i="2"/>
  <c r="S117" i="2" l="1"/>
  <c r="T117" i="2" s="1"/>
  <c r="N117" i="2"/>
  <c r="O117" i="2" l="1"/>
  <c r="P117" i="2" s="1"/>
  <c r="U117" i="2" s="1"/>
  <c r="V117" i="2" s="1"/>
  <c r="M118" i="2"/>
  <c r="S118" i="2" l="1"/>
  <c r="T118" i="2" s="1"/>
  <c r="N118" i="2"/>
  <c r="O118" i="2" l="1"/>
  <c r="P118" i="2" s="1"/>
  <c r="U118" i="2" s="1"/>
  <c r="V118" i="2" s="1"/>
  <c r="M119" i="2"/>
  <c r="S119" i="2" l="1"/>
  <c r="T119" i="2" s="1"/>
  <c r="N119" i="2"/>
  <c r="O119" i="2" l="1"/>
  <c r="P119" i="2" s="1"/>
  <c r="U119" i="2" s="1"/>
  <c r="V119" i="2" s="1"/>
  <c r="M120" i="2"/>
  <c r="S120" i="2" l="1"/>
  <c r="T120" i="2" s="1"/>
  <c r="N120" i="2"/>
  <c r="O120" i="2" l="1"/>
  <c r="P120" i="2" s="1"/>
  <c r="U120" i="2" s="1"/>
  <c r="V120" i="2" s="1"/>
  <c r="M121" i="2"/>
  <c r="S121" i="2" l="1"/>
  <c r="T121" i="2" s="1"/>
  <c r="N121" i="2"/>
  <c r="O121" i="2" l="1"/>
  <c r="P121" i="2" s="1"/>
  <c r="U121" i="2" s="1"/>
  <c r="V121" i="2" s="1"/>
  <c r="M122" i="2"/>
  <c r="S122" i="2" l="1"/>
  <c r="T122" i="2" s="1"/>
  <c r="N122" i="2"/>
  <c r="O122" i="2" l="1"/>
  <c r="P122" i="2" s="1"/>
  <c r="U122" i="2" s="1"/>
  <c r="V122" i="2" s="1"/>
  <c r="M123" i="2"/>
  <c r="S123" i="2" l="1"/>
  <c r="T123" i="2" s="1"/>
  <c r="N123" i="2"/>
  <c r="O123" i="2" l="1"/>
  <c r="P123" i="2" s="1"/>
  <c r="U123" i="2" s="1"/>
  <c r="V123" i="2" s="1"/>
  <c r="M124" i="2"/>
  <c r="S124" i="2" l="1"/>
  <c r="T124" i="2" s="1"/>
  <c r="N124" i="2"/>
  <c r="O124" i="2" l="1"/>
  <c r="P124" i="2" s="1"/>
  <c r="U124" i="2" s="1"/>
  <c r="V124" i="2" s="1"/>
  <c r="M125" i="2"/>
  <c r="S125" i="2" l="1"/>
  <c r="T125" i="2" s="1"/>
  <c r="N125" i="2"/>
  <c r="O125" i="2" l="1"/>
  <c r="P125" i="2" s="1"/>
  <c r="U125" i="2" s="1"/>
  <c r="V125" i="2" s="1"/>
  <c r="M126" i="2"/>
  <c r="S126" i="2" l="1"/>
  <c r="T126" i="2" s="1"/>
  <c r="N126" i="2"/>
  <c r="O126" i="2" l="1"/>
  <c r="P126" i="2" s="1"/>
  <c r="U126" i="2" s="1"/>
  <c r="V126" i="2" s="1"/>
  <c r="M127" i="2"/>
  <c r="S127" i="2" l="1"/>
  <c r="T127" i="2" s="1"/>
  <c r="N127" i="2"/>
  <c r="O127" i="2" l="1"/>
  <c r="P127" i="2" s="1"/>
  <c r="U127" i="2" s="1"/>
  <c r="V127" i="2" s="1"/>
  <c r="M128" i="2"/>
  <c r="S128" i="2" l="1"/>
  <c r="T128" i="2" s="1"/>
  <c r="N128" i="2"/>
  <c r="O128" i="2" l="1"/>
  <c r="P128" i="2" s="1"/>
  <c r="U128" i="2" s="1"/>
  <c r="V128" i="2" s="1"/>
  <c r="M129" i="2"/>
  <c r="S129" i="2" l="1"/>
  <c r="T129" i="2" s="1"/>
  <c r="N129" i="2"/>
  <c r="O129" i="2" l="1"/>
  <c r="P129" i="2" s="1"/>
  <c r="U129" i="2" s="1"/>
  <c r="V129" i="2" s="1"/>
  <c r="M130" i="2"/>
  <c r="S130" i="2" l="1"/>
  <c r="T130" i="2" s="1"/>
  <c r="N130" i="2"/>
  <c r="O130" i="2" l="1"/>
  <c r="P130" i="2" s="1"/>
  <c r="U130" i="2" s="1"/>
  <c r="V130" i="2" s="1"/>
  <c r="M131" i="2"/>
  <c r="S131" i="2" l="1"/>
  <c r="T131" i="2" s="1"/>
  <c r="N131" i="2"/>
  <c r="O131" i="2" l="1"/>
  <c r="P131" i="2" s="1"/>
  <c r="U131" i="2" s="1"/>
  <c r="V131" i="2" s="1"/>
  <c r="M132" i="2"/>
  <c r="S132" i="2" l="1"/>
  <c r="T132" i="2" s="1"/>
  <c r="N132" i="2"/>
  <c r="O132" i="2" l="1"/>
  <c r="P132" i="2" s="1"/>
  <c r="U132" i="2" s="1"/>
  <c r="V132" i="2" s="1"/>
  <c r="M133" i="2"/>
  <c r="S133" i="2" l="1"/>
  <c r="T133" i="2" s="1"/>
  <c r="N133" i="2"/>
  <c r="O133" i="2" l="1"/>
  <c r="P133" i="2" s="1"/>
  <c r="U133" i="2" s="1"/>
  <c r="V133" i="2" s="1"/>
  <c r="M134" i="2"/>
  <c r="S134" i="2" l="1"/>
  <c r="T134" i="2" s="1"/>
  <c r="N134" i="2"/>
  <c r="O134" i="2" l="1"/>
  <c r="P134" i="2" s="1"/>
  <c r="U134" i="2" s="1"/>
  <c r="V134" i="2" s="1"/>
  <c r="M135" i="2"/>
  <c r="S135" i="2" l="1"/>
  <c r="T135" i="2" s="1"/>
  <c r="N135" i="2"/>
  <c r="M136" i="2" l="1"/>
  <c r="O135" i="2"/>
  <c r="P135" i="2" s="1"/>
  <c r="U135" i="2" s="1"/>
  <c r="V135" i="2" s="1"/>
  <c r="S136" i="2" l="1"/>
  <c r="T136" i="2" s="1"/>
  <c r="N136" i="2"/>
  <c r="O136" i="2" l="1"/>
  <c r="P136" i="2" s="1"/>
  <c r="U136" i="2" s="1"/>
  <c r="V136" i="2" s="1"/>
  <c r="M137" i="2"/>
  <c r="S137" i="2" l="1"/>
  <c r="T137" i="2" s="1"/>
  <c r="N137" i="2"/>
  <c r="O137" i="2" l="1"/>
  <c r="P137" i="2" s="1"/>
  <c r="U137" i="2" s="1"/>
  <c r="V137" i="2" s="1"/>
  <c r="M138" i="2"/>
  <c r="S138" i="2" l="1"/>
  <c r="T138" i="2" s="1"/>
  <c r="N138" i="2"/>
  <c r="O138" i="2" l="1"/>
  <c r="P138" i="2" s="1"/>
  <c r="U138" i="2" s="1"/>
  <c r="V138" i="2" s="1"/>
  <c r="M139" i="2"/>
  <c r="S139" i="2" l="1"/>
  <c r="T139" i="2" s="1"/>
  <c r="N139" i="2"/>
  <c r="O139" i="2" l="1"/>
  <c r="P139" i="2" s="1"/>
  <c r="U139" i="2" s="1"/>
  <c r="V139" i="2" s="1"/>
  <c r="M140" i="2"/>
  <c r="S140" i="2" l="1"/>
  <c r="T140" i="2" s="1"/>
  <c r="N140" i="2"/>
  <c r="M141" i="2" l="1"/>
  <c r="O140" i="2"/>
  <c r="P140" i="2" s="1"/>
  <c r="U140" i="2" s="1"/>
  <c r="V140" i="2" s="1"/>
  <c r="S141" i="2" l="1"/>
  <c r="T141" i="2" s="1"/>
  <c r="N141" i="2"/>
  <c r="O141" i="2" l="1"/>
  <c r="P141" i="2" s="1"/>
  <c r="U141" i="2" s="1"/>
  <c r="V141" i="2" s="1"/>
  <c r="M142" i="2"/>
  <c r="S142" i="2" l="1"/>
  <c r="T142" i="2" s="1"/>
  <c r="N142" i="2"/>
  <c r="O142" i="2" l="1"/>
  <c r="P142" i="2" s="1"/>
  <c r="U142" i="2" s="1"/>
  <c r="V142" i="2" s="1"/>
  <c r="M143" i="2"/>
  <c r="S143" i="2" l="1"/>
  <c r="T143" i="2" s="1"/>
  <c r="N143" i="2"/>
  <c r="O143" i="2" l="1"/>
  <c r="P143" i="2" s="1"/>
  <c r="U143" i="2" s="1"/>
  <c r="V143" i="2" s="1"/>
  <c r="M144" i="2"/>
  <c r="S144" i="2" l="1"/>
  <c r="T144" i="2" s="1"/>
  <c r="N144" i="2"/>
  <c r="O144" i="2" l="1"/>
  <c r="P144" i="2" s="1"/>
  <c r="U144" i="2" s="1"/>
  <c r="V144" i="2" s="1"/>
  <c r="M145" i="2"/>
  <c r="S145" i="2" l="1"/>
  <c r="T145" i="2" s="1"/>
  <c r="N145" i="2"/>
  <c r="O145" i="2" l="1"/>
  <c r="P145" i="2" s="1"/>
  <c r="U145" i="2" s="1"/>
  <c r="V145" i="2" s="1"/>
  <c r="M146" i="2"/>
  <c r="S146" i="2" l="1"/>
  <c r="T146" i="2" s="1"/>
  <c r="N146" i="2"/>
  <c r="O146" i="2" l="1"/>
  <c r="P146" i="2" s="1"/>
  <c r="U146" i="2" s="1"/>
  <c r="V146" i="2" s="1"/>
  <c r="M147" i="2"/>
  <c r="S147" i="2" l="1"/>
  <c r="T147" i="2" s="1"/>
  <c r="N147" i="2"/>
  <c r="M148" i="2" l="1"/>
  <c r="O147" i="2"/>
  <c r="P147" i="2" s="1"/>
  <c r="U147" i="2" s="1"/>
  <c r="V147" i="2" s="1"/>
  <c r="S148" i="2" l="1"/>
  <c r="T148" i="2" s="1"/>
  <c r="N148" i="2"/>
  <c r="M149" i="2" l="1"/>
  <c r="O148" i="2"/>
  <c r="P148" i="2" s="1"/>
  <c r="U148" i="2" s="1"/>
  <c r="V148" i="2" s="1"/>
  <c r="S149" i="2" l="1"/>
  <c r="T149" i="2" s="1"/>
  <c r="N149" i="2"/>
  <c r="O149" i="2" l="1"/>
  <c r="P149" i="2" s="1"/>
  <c r="U149" i="2" s="1"/>
  <c r="V149" i="2" s="1"/>
  <c r="M150" i="2"/>
  <c r="S150" i="2" l="1"/>
  <c r="T150" i="2" s="1"/>
  <c r="N150" i="2"/>
  <c r="M151" i="2" l="1"/>
  <c r="O150" i="2"/>
  <c r="P150" i="2" s="1"/>
  <c r="U150" i="2" s="1"/>
  <c r="V150" i="2" s="1"/>
  <c r="S151" i="2" l="1"/>
  <c r="T151" i="2" s="1"/>
  <c r="N151" i="2"/>
  <c r="O151" i="2" l="1"/>
  <c r="P151" i="2" s="1"/>
  <c r="U151" i="2" s="1"/>
  <c r="V151" i="2" s="1"/>
  <c r="M152" i="2"/>
  <c r="S152" i="2" l="1"/>
  <c r="T152" i="2" s="1"/>
  <c r="N152" i="2"/>
  <c r="O152" i="2" l="1"/>
  <c r="P152" i="2" s="1"/>
  <c r="U152" i="2" s="1"/>
  <c r="V152" i="2" s="1"/>
  <c r="M153" i="2"/>
  <c r="S153" i="2" l="1"/>
  <c r="T153" i="2" s="1"/>
  <c r="N153" i="2"/>
  <c r="O153" i="2" l="1"/>
  <c r="P153" i="2"/>
  <c r="U153" i="2" s="1"/>
  <c r="V153" i="2" s="1"/>
  <c r="M154" i="2"/>
  <c r="S154" i="2" l="1"/>
  <c r="T154" i="2" s="1"/>
  <c r="N154" i="2"/>
  <c r="O154" i="2" l="1"/>
  <c r="P154" i="2" s="1"/>
  <c r="U154" i="2" s="1"/>
  <c r="V154" i="2" s="1"/>
  <c r="M155" i="2"/>
  <c r="S155" i="2" l="1"/>
  <c r="T155" i="2" s="1"/>
  <c r="N155" i="2"/>
  <c r="O155" i="2" l="1"/>
  <c r="P155" i="2" s="1"/>
  <c r="U155" i="2" s="1"/>
  <c r="V155" i="2" s="1"/>
  <c r="M156" i="2"/>
  <c r="S156" i="2" l="1"/>
  <c r="T156" i="2" s="1"/>
  <c r="N156" i="2"/>
  <c r="O156" i="2" l="1"/>
  <c r="P156" i="2" s="1"/>
  <c r="U156" i="2" s="1"/>
  <c r="V156" i="2" s="1"/>
  <c r="M157" i="2"/>
  <c r="S157" i="2" l="1"/>
  <c r="T157" i="2" s="1"/>
  <c r="N157" i="2"/>
  <c r="O157" i="2" l="1"/>
  <c r="P157" i="2" s="1"/>
  <c r="U157" i="2" s="1"/>
  <c r="V157" i="2" s="1"/>
  <c r="M158" i="2"/>
  <c r="S158" i="2" l="1"/>
  <c r="T158" i="2" s="1"/>
  <c r="N158" i="2"/>
  <c r="O158" i="2" l="1"/>
  <c r="P158" i="2" s="1"/>
  <c r="U158" i="2" s="1"/>
  <c r="V158" i="2" s="1"/>
  <c r="M159" i="2"/>
  <c r="S159" i="2" l="1"/>
  <c r="T159" i="2" s="1"/>
  <c r="N159" i="2"/>
  <c r="O159" i="2" l="1"/>
  <c r="P159" i="2" s="1"/>
  <c r="U159" i="2" s="1"/>
  <c r="V159" i="2" s="1"/>
  <c r="M160" i="2"/>
  <c r="S160" i="2" l="1"/>
  <c r="T160" i="2" s="1"/>
  <c r="N160" i="2"/>
  <c r="O160" i="2" l="1"/>
  <c r="P160" i="2" s="1"/>
  <c r="U160" i="2" s="1"/>
  <c r="V160" i="2" s="1"/>
  <c r="M161" i="2"/>
  <c r="S161" i="2" l="1"/>
  <c r="T161" i="2" s="1"/>
  <c r="N161" i="2"/>
  <c r="M162" i="2" l="1"/>
  <c r="O161" i="2"/>
  <c r="P161" i="2" s="1"/>
  <c r="U161" i="2" s="1"/>
  <c r="V161" i="2" s="1"/>
  <c r="S162" i="2" l="1"/>
  <c r="T162" i="2" s="1"/>
  <c r="N162" i="2"/>
  <c r="O162" i="2" l="1"/>
  <c r="P162" i="2" s="1"/>
  <c r="U162" i="2" s="1"/>
  <c r="V162" i="2" s="1"/>
  <c r="M163" i="2"/>
  <c r="S163" i="2" l="1"/>
  <c r="T163" i="2" s="1"/>
  <c r="N163" i="2"/>
  <c r="O163" i="2" l="1"/>
  <c r="P163" i="2" s="1"/>
  <c r="U163" i="2" s="1"/>
  <c r="V163" i="2" s="1"/>
  <c r="M164" i="2"/>
  <c r="S164" i="2" l="1"/>
  <c r="T164" i="2" s="1"/>
  <c r="N164" i="2"/>
  <c r="O164" i="2" l="1"/>
  <c r="P164" i="2" s="1"/>
  <c r="U164" i="2" s="1"/>
  <c r="V164" i="2" s="1"/>
  <c r="M165" i="2"/>
  <c r="S165" i="2" l="1"/>
  <c r="T165" i="2" s="1"/>
  <c r="N165" i="2"/>
  <c r="O165" i="2" l="1"/>
  <c r="P165" i="2" s="1"/>
  <c r="U165" i="2" s="1"/>
  <c r="V165" i="2" s="1"/>
  <c r="M166" i="2"/>
  <c r="S166" i="2" l="1"/>
  <c r="T166" i="2" s="1"/>
  <c r="N166" i="2"/>
  <c r="O166" i="2" l="1"/>
  <c r="P166" i="2" s="1"/>
  <c r="U166" i="2" s="1"/>
  <c r="V166" i="2" s="1"/>
  <c r="M167" i="2"/>
  <c r="S167" i="2" l="1"/>
  <c r="T167" i="2" s="1"/>
  <c r="N167" i="2"/>
  <c r="O167" i="2" l="1"/>
  <c r="P167" i="2" s="1"/>
  <c r="U167" i="2" s="1"/>
  <c r="V167" i="2" s="1"/>
  <c r="M168" i="2"/>
  <c r="S168" i="2" l="1"/>
  <c r="T168" i="2" s="1"/>
  <c r="N168" i="2"/>
  <c r="O168" i="2" l="1"/>
  <c r="P168" i="2" s="1"/>
  <c r="U168" i="2" s="1"/>
  <c r="V168" i="2" s="1"/>
  <c r="M169" i="2"/>
  <c r="S169" i="2" l="1"/>
  <c r="T169" i="2" s="1"/>
  <c r="N169" i="2"/>
  <c r="O169" i="2" l="1"/>
  <c r="P169" i="2" s="1"/>
  <c r="U169" i="2" s="1"/>
  <c r="V169" i="2" s="1"/>
  <c r="M170" i="2"/>
  <c r="S170" i="2" l="1"/>
  <c r="T170" i="2" s="1"/>
  <c r="N170" i="2"/>
  <c r="O170" i="2" l="1"/>
  <c r="P170" i="2" s="1"/>
  <c r="U170" i="2" s="1"/>
  <c r="V170" i="2" s="1"/>
  <c r="M171" i="2"/>
  <c r="S171" i="2" l="1"/>
  <c r="T171" i="2" s="1"/>
  <c r="N171" i="2"/>
  <c r="O171" i="2" l="1"/>
  <c r="P171" i="2" s="1"/>
  <c r="U171" i="2" s="1"/>
  <c r="V171" i="2" s="1"/>
  <c r="M172" i="2"/>
  <c r="S172" i="2" l="1"/>
  <c r="T172" i="2" s="1"/>
  <c r="N172" i="2"/>
  <c r="O172" i="2" l="1"/>
  <c r="P172" i="2" s="1"/>
  <c r="U172" i="2" s="1"/>
  <c r="V172" i="2" s="1"/>
  <c r="M173" i="2"/>
  <c r="S173" i="2" l="1"/>
  <c r="T173" i="2" s="1"/>
  <c r="N173" i="2"/>
  <c r="O173" i="2" l="1"/>
  <c r="P173" i="2" s="1"/>
  <c r="U173" i="2" s="1"/>
  <c r="V173" i="2" s="1"/>
  <c r="M174" i="2"/>
  <c r="S174" i="2" l="1"/>
  <c r="T174" i="2" s="1"/>
  <c r="N174" i="2"/>
  <c r="O174" i="2" l="1"/>
  <c r="P174" i="2" s="1"/>
  <c r="U174" i="2" s="1"/>
  <c r="V174" i="2" s="1"/>
  <c r="M175" i="2"/>
  <c r="S175" i="2" l="1"/>
  <c r="T175" i="2" s="1"/>
  <c r="N175" i="2"/>
  <c r="O175" i="2" l="1"/>
  <c r="P175" i="2" s="1"/>
  <c r="U175" i="2" s="1"/>
  <c r="V175" i="2" s="1"/>
  <c r="M176" i="2"/>
  <c r="S176" i="2" l="1"/>
  <c r="T176" i="2" s="1"/>
  <c r="N176" i="2"/>
  <c r="O176" i="2" l="1"/>
  <c r="P176" i="2" s="1"/>
  <c r="U176" i="2" s="1"/>
  <c r="V176" i="2" s="1"/>
  <c r="M177" i="2"/>
  <c r="S177" i="2" l="1"/>
  <c r="T177" i="2" s="1"/>
  <c r="N177" i="2"/>
  <c r="O177" i="2" l="1"/>
  <c r="P177" i="2" s="1"/>
  <c r="U177" i="2" s="1"/>
  <c r="V177" i="2" s="1"/>
  <c r="M178" i="2"/>
  <c r="S178" i="2" l="1"/>
  <c r="T178" i="2" s="1"/>
  <c r="N178" i="2"/>
  <c r="O178" i="2" l="1"/>
  <c r="P178" i="2" s="1"/>
  <c r="U178" i="2" s="1"/>
  <c r="V178" i="2" s="1"/>
  <c r="M179" i="2"/>
  <c r="S179" i="2" l="1"/>
  <c r="T179" i="2" s="1"/>
  <c r="N179" i="2"/>
  <c r="O179" i="2" l="1"/>
  <c r="P179" i="2" s="1"/>
  <c r="U179" i="2" s="1"/>
  <c r="V179" i="2" s="1"/>
  <c r="M180" i="2"/>
  <c r="S180" i="2" l="1"/>
  <c r="T180" i="2" s="1"/>
  <c r="N180" i="2"/>
  <c r="O180" i="2" l="1"/>
  <c r="P180" i="2" s="1"/>
  <c r="U180" i="2" s="1"/>
  <c r="V180" i="2" s="1"/>
  <c r="M181" i="2"/>
  <c r="S181" i="2" l="1"/>
  <c r="N181" i="2"/>
  <c r="C21" i="3"/>
  <c r="M182" i="2"/>
  <c r="O181" i="2" l="1"/>
  <c r="N182" i="2"/>
  <c r="S182" i="2"/>
  <c r="T181" i="2"/>
  <c r="T182" i="2" s="1"/>
  <c r="O182" i="2" l="1"/>
  <c r="C17" i="3"/>
  <c r="P181" i="2"/>
  <c r="U181" i="2" l="1"/>
  <c r="C8" i="3"/>
  <c r="C14" i="4" s="1"/>
  <c r="P182" i="2"/>
  <c r="C15" i="3"/>
  <c r="C7" i="3" l="1"/>
  <c r="C13" i="4" s="1"/>
  <c r="C6" i="3"/>
  <c r="C12" i="4" s="1"/>
  <c r="U182" i="2"/>
  <c r="V181" i="2"/>
  <c r="V18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<sst xmlns="http://schemas.openxmlformats.org/spreadsheetml/2006/main" count="503" uniqueCount="290">
  <si>
    <t>ВХОДНЫЕ ПАРАМЕТРЫ ПРОЕКТА</t>
  </si>
  <si>
    <t>Название проекта</t>
  </si>
  <si>
    <t>Sklad_Zlatoust</t>
  </si>
  <si>
    <t>Дата начала строительства</t>
  </si>
  <si>
    <t>ДД.ММ.ГГГГ</t>
  </si>
  <si>
    <t>01.06.2026</t>
  </si>
  <si>
    <t>Площадь объекта</t>
  </si>
  <si>
    <t>кв.м.</t>
  </si>
  <si>
    <t>Себестоимость строительства (с НДС)</t>
  </si>
  <si>
    <t>руб.</t>
  </si>
  <si>
    <t>Доля кредита</t>
  </si>
  <si>
    <t>Арендная ставка</t>
  </si>
  <si>
    <t>руб./кв.м./мес.</t>
  </si>
  <si>
    <t>Годовая инфляция (индексация аренды)</t>
  </si>
  <si>
    <t>Ставка ЦБ (ставка дисконтирования)</t>
  </si>
  <si>
    <t>Кредитная ставка</t>
  </si>
  <si>
    <t>Срок строительства</t>
  </si>
  <si>
    <t>мес.</t>
  </si>
  <si>
    <t>Горизонт планирования</t>
  </si>
  <si>
    <t>Ставка НДС</t>
  </si>
  <si>
    <t>Ставка налога на прибыль</t>
  </si>
  <si>
    <t>Ставка налога на имущество</t>
  </si>
  <si>
    <t>в год</t>
  </si>
  <si>
    <t>Операционные расходы</t>
  </si>
  <si>
    <t>% от выручки б/НДС</t>
  </si>
  <si>
    <t>Срок полезного использования</t>
  </si>
  <si>
    <t>лет</t>
  </si>
  <si>
    <t>РАСЧЁТНЫЕ (ПРОИЗВОДНЫЕ) ПАРАМЕТРЫ</t>
  </si>
  <si>
    <t>Изменяйте только синие ячейки выше — формулы ниже пересчитаются автоматически.</t>
  </si>
  <si>
    <t>Себестоимость без НДС</t>
  </si>
  <si>
    <t>НДС строительства</t>
  </si>
  <si>
    <t>Сумма кредита</t>
  </si>
  <si>
    <t>Собственные средства</t>
  </si>
  <si>
    <t>Стоимость 1 кв.м.</t>
  </si>
  <si>
    <t>Период эксплуатации</t>
  </si>
  <si>
    <t>Аннуитетный платёж (в мес.)</t>
  </si>
  <si>
    <t>руб./мес.</t>
  </si>
  <si>
    <t>Амортизация (в мес.)</t>
  </si>
  <si>
    <t>НДС к возмещению (1-3 мес. экспл.)</t>
  </si>
  <si>
    <t>Мес.</t>
  </si>
  <si>
    <t>Дата</t>
  </si>
  <si>
    <t>Фаза</t>
  </si>
  <si>
    <t>Выручка с НДС</t>
  </si>
  <si>
    <t>Выручка без НДС</t>
  </si>
  <si>
    <t>НДС выходной</t>
  </si>
  <si>
    <t>НДС входной</t>
  </si>
  <si>
    <t>НДС нетто</t>
  </si>
  <si>
    <t>Опер. расходы</t>
  </si>
  <si>
    <t>Амортизация</t>
  </si>
  <si>
    <t>Налог на имущ.</t>
  </si>
  <si>
    <t>EBIT</t>
  </si>
  <si>
    <t>Проценты</t>
  </si>
  <si>
    <t>EBT</t>
  </si>
  <si>
    <t>Налог на прибыль</t>
  </si>
  <si>
    <t>Чистая прибыль</t>
  </si>
  <si>
    <t>Капвложения</t>
  </si>
  <si>
    <t>Транш кредита</t>
  </si>
  <si>
    <t>Погашение кредита</t>
  </si>
  <si>
    <t>Остаток кредита</t>
  </si>
  <si>
    <t>CF инвестора</t>
  </si>
  <si>
    <t>Накопл. CF</t>
  </si>
  <si>
    <t>01.07.2026</t>
  </si>
  <si>
    <t>Строительство</t>
  </si>
  <si>
    <t>01.08.2026</t>
  </si>
  <si>
    <t>01.09.2026</t>
  </si>
  <si>
    <t>01.10.2026</t>
  </si>
  <si>
    <t>01.11.2026</t>
  </si>
  <si>
    <t>01.12.2026</t>
  </si>
  <si>
    <t>01.01.2027</t>
  </si>
  <si>
    <t>01.02.2027</t>
  </si>
  <si>
    <t>01.03.2027</t>
  </si>
  <si>
    <t>01.04.2027</t>
  </si>
  <si>
    <t>01.05.2027</t>
  </si>
  <si>
    <t>01.06.2027</t>
  </si>
  <si>
    <t>01.07.2027</t>
  </si>
  <si>
    <t>Эксплуатация</t>
  </si>
  <si>
    <t>01.08.2027</t>
  </si>
  <si>
    <t>01.09.2027</t>
  </si>
  <si>
    <t>01.10.2027</t>
  </si>
  <si>
    <t>01.11.2027</t>
  </si>
  <si>
    <t>01.12.2027</t>
  </si>
  <si>
    <t>01.01.2028</t>
  </si>
  <si>
    <t>01.02.2028</t>
  </si>
  <si>
    <t>01.03.2028</t>
  </si>
  <si>
    <t>01.04.2028</t>
  </si>
  <si>
    <t>01.05.2028</t>
  </si>
  <si>
    <t>01.06.2028</t>
  </si>
  <si>
    <t>01.07.2028</t>
  </si>
  <si>
    <t>01.08.2028</t>
  </si>
  <si>
    <t>01.09.2028</t>
  </si>
  <si>
    <t>01.10.2028</t>
  </si>
  <si>
    <t>01.11.2028</t>
  </si>
  <si>
    <t>01.12.2028</t>
  </si>
  <si>
    <t>01.01.2029</t>
  </si>
  <si>
    <t>01.02.2029</t>
  </si>
  <si>
    <t>01.03.2029</t>
  </si>
  <si>
    <t>01.04.2029</t>
  </si>
  <si>
    <t>01.05.2029</t>
  </si>
  <si>
    <t>01.06.2029</t>
  </si>
  <si>
    <t>01.07.2029</t>
  </si>
  <si>
    <t>01.08.2029</t>
  </si>
  <si>
    <t>01.09.2029</t>
  </si>
  <si>
    <t>01.10.2029</t>
  </si>
  <si>
    <t>01.11.2029</t>
  </si>
  <si>
    <t>01.12.2029</t>
  </si>
  <si>
    <t>01.01.2030</t>
  </si>
  <si>
    <t>01.02.2030</t>
  </si>
  <si>
    <t>01.03.2030</t>
  </si>
  <si>
    <t>01.04.2030</t>
  </si>
  <si>
    <t>01.05.2030</t>
  </si>
  <si>
    <t>01.06.2030</t>
  </si>
  <si>
    <t>01.07.2030</t>
  </si>
  <si>
    <t>01.08.2030</t>
  </si>
  <si>
    <t>01.09.2030</t>
  </si>
  <si>
    <t>01.10.2030</t>
  </si>
  <si>
    <t>01.11.2030</t>
  </si>
  <si>
    <t>01.12.2030</t>
  </si>
  <si>
    <t>01.01.2031</t>
  </si>
  <si>
    <t>01.02.2031</t>
  </si>
  <si>
    <t>01.03.2031</t>
  </si>
  <si>
    <t>01.04.2031</t>
  </si>
  <si>
    <t>01.05.2031</t>
  </si>
  <si>
    <t>01.06.2031</t>
  </si>
  <si>
    <t>01.07.2031</t>
  </si>
  <si>
    <t>01.08.2031</t>
  </si>
  <si>
    <t>01.09.2031</t>
  </si>
  <si>
    <t>01.10.2031</t>
  </si>
  <si>
    <t>01.11.2031</t>
  </si>
  <si>
    <t>01.12.2031</t>
  </si>
  <si>
    <t>01.01.2032</t>
  </si>
  <si>
    <t>01.02.2032</t>
  </si>
  <si>
    <t>01.03.2032</t>
  </si>
  <si>
    <t>01.04.2032</t>
  </si>
  <si>
    <t>01.05.2032</t>
  </si>
  <si>
    <t>01.06.2032</t>
  </si>
  <si>
    <t>01.07.2032</t>
  </si>
  <si>
    <t>01.08.2032</t>
  </si>
  <si>
    <t>01.09.2032</t>
  </si>
  <si>
    <t>01.10.2032</t>
  </si>
  <si>
    <t>01.11.2032</t>
  </si>
  <si>
    <t>01.12.2032</t>
  </si>
  <si>
    <t>01.01.2033</t>
  </si>
  <si>
    <t>01.02.2033</t>
  </si>
  <si>
    <t>01.03.2033</t>
  </si>
  <si>
    <t>01.04.2033</t>
  </si>
  <si>
    <t>01.05.2033</t>
  </si>
  <si>
    <t>01.06.2033</t>
  </si>
  <si>
    <t>01.07.2033</t>
  </si>
  <si>
    <t>01.08.2033</t>
  </si>
  <si>
    <t>01.09.2033</t>
  </si>
  <si>
    <t>01.10.2033</t>
  </si>
  <si>
    <t>01.11.2033</t>
  </si>
  <si>
    <t>01.12.2033</t>
  </si>
  <si>
    <t>01.01.2034</t>
  </si>
  <si>
    <t>01.02.2034</t>
  </si>
  <si>
    <t>01.03.2034</t>
  </si>
  <si>
    <t>01.04.2034</t>
  </si>
  <si>
    <t>01.05.2034</t>
  </si>
  <si>
    <t>01.06.2034</t>
  </si>
  <si>
    <t>01.07.2034</t>
  </si>
  <si>
    <t>01.08.2034</t>
  </si>
  <si>
    <t>01.09.2034</t>
  </si>
  <si>
    <t>01.10.2034</t>
  </si>
  <si>
    <t>01.11.2034</t>
  </si>
  <si>
    <t>01.12.2034</t>
  </si>
  <si>
    <t>01.01.2035</t>
  </si>
  <si>
    <t>01.02.2035</t>
  </si>
  <si>
    <t>01.03.2035</t>
  </si>
  <si>
    <t>01.04.2035</t>
  </si>
  <si>
    <t>01.05.2035</t>
  </si>
  <si>
    <t>01.06.2035</t>
  </si>
  <si>
    <t>01.07.2035</t>
  </si>
  <si>
    <t>01.08.2035</t>
  </si>
  <si>
    <t>01.09.2035</t>
  </si>
  <si>
    <t>01.10.2035</t>
  </si>
  <si>
    <t>01.11.2035</t>
  </si>
  <si>
    <t>01.12.2035</t>
  </si>
  <si>
    <t>01.01.2036</t>
  </si>
  <si>
    <t>01.02.2036</t>
  </si>
  <si>
    <t>01.03.2036</t>
  </si>
  <si>
    <t>01.04.2036</t>
  </si>
  <si>
    <t>01.05.2036</t>
  </si>
  <si>
    <t>01.06.2036</t>
  </si>
  <si>
    <t>01.07.2036</t>
  </si>
  <si>
    <t>01.08.2036</t>
  </si>
  <si>
    <t>01.09.2036</t>
  </si>
  <si>
    <t>01.10.2036</t>
  </si>
  <si>
    <t>01.11.2036</t>
  </si>
  <si>
    <t>01.12.2036</t>
  </si>
  <si>
    <t>01.01.2037</t>
  </si>
  <si>
    <t>01.02.2037</t>
  </si>
  <si>
    <t>01.03.2037</t>
  </si>
  <si>
    <t>01.04.2037</t>
  </si>
  <si>
    <t>01.05.2037</t>
  </si>
  <si>
    <t>01.06.2037</t>
  </si>
  <si>
    <t>01.07.2037</t>
  </si>
  <si>
    <t>01.08.2037</t>
  </si>
  <si>
    <t>01.09.2037</t>
  </si>
  <si>
    <t>01.10.2037</t>
  </si>
  <si>
    <t>01.11.2037</t>
  </si>
  <si>
    <t>01.12.2037</t>
  </si>
  <si>
    <t>01.01.2038</t>
  </si>
  <si>
    <t>01.02.2038</t>
  </si>
  <si>
    <t>01.03.2038</t>
  </si>
  <si>
    <t>01.04.2038</t>
  </si>
  <si>
    <t>01.05.2038</t>
  </si>
  <si>
    <t>01.06.2038</t>
  </si>
  <si>
    <t>01.07.2038</t>
  </si>
  <si>
    <t>01.08.2038</t>
  </si>
  <si>
    <t>01.09.2038</t>
  </si>
  <si>
    <t>01.10.2038</t>
  </si>
  <si>
    <t>01.11.2038</t>
  </si>
  <si>
    <t>01.12.2038</t>
  </si>
  <si>
    <t>01.01.2039</t>
  </si>
  <si>
    <t>01.02.2039</t>
  </si>
  <si>
    <t>01.03.2039</t>
  </si>
  <si>
    <t>01.04.2039</t>
  </si>
  <si>
    <t>01.05.2039</t>
  </si>
  <si>
    <t>01.06.2039</t>
  </si>
  <si>
    <t>01.07.2039</t>
  </si>
  <si>
    <t>01.08.2039</t>
  </si>
  <si>
    <t>01.09.2039</t>
  </si>
  <si>
    <t>01.10.2039</t>
  </si>
  <si>
    <t>01.11.2039</t>
  </si>
  <si>
    <t>01.12.2039</t>
  </si>
  <si>
    <t>01.01.2040</t>
  </si>
  <si>
    <t>01.02.2040</t>
  </si>
  <si>
    <t>01.03.2040</t>
  </si>
  <si>
    <t>01.04.2040</t>
  </si>
  <si>
    <t>01.05.2040</t>
  </si>
  <si>
    <t>01.06.2040</t>
  </si>
  <si>
    <t>01.07.2040</t>
  </si>
  <si>
    <t>01.08.2040</t>
  </si>
  <si>
    <t>01.09.2040</t>
  </si>
  <si>
    <t>01.10.2040</t>
  </si>
  <si>
    <t>01.11.2040</t>
  </si>
  <si>
    <t>01.12.2040</t>
  </si>
  <si>
    <t>01.01.2041</t>
  </si>
  <si>
    <t>01.02.2041</t>
  </si>
  <si>
    <t>01.03.2041</t>
  </si>
  <si>
    <t>01.04.2041</t>
  </si>
  <si>
    <t>01.05.2041</t>
  </si>
  <si>
    <t>01.06.2041</t>
  </si>
  <si>
    <t>ИТОГО ЗА ГОРИЗОНТ</t>
  </si>
  <si>
    <t>КЛЮЧЕВЫЕ ПОКАЗАТЕЛИ ПРОЕКТА</t>
  </si>
  <si>
    <t>Проект</t>
  </si>
  <si>
    <t>Дата начала</t>
  </si>
  <si>
    <t>ПОКАЗАТЕЛИ ЭФФЕКТИВНОСТИ</t>
  </si>
  <si>
    <t>NPV (чистая приведённая стоимость)</t>
  </si>
  <si>
    <t>IRR (годовая внутренняя норма доходности)</t>
  </si>
  <si>
    <t>%</t>
  </si>
  <si>
    <t>ROI (рентабельность СС за горизонт)</t>
  </si>
  <si>
    <t>Срок окупаемости</t>
  </si>
  <si>
    <t>Ставка дисконтирования (ЦБ)</t>
  </si>
  <si>
    <t>ФИНАНСОВЫЕ ИТОГИ ЗА ГОРИЗОНТ</t>
  </si>
  <si>
    <t>Суммарная выручка (с НДС)</t>
  </si>
  <si>
    <t>Суммарная выручка (без НДС)</t>
  </si>
  <si>
    <t>Чистая прибыль (суммарно)</t>
  </si>
  <si>
    <t>НАЛОГИ И ПЛАТЕЖИ ЗА ГОРИЗОНТ</t>
  </si>
  <si>
    <t>НДС к уплате (выплаты в бюджет)</t>
  </si>
  <si>
    <t>Возврат НДС из строительства</t>
  </si>
  <si>
    <t>Налог на имущество</t>
  </si>
  <si>
    <t>Проценты по кредиту</t>
  </si>
  <si>
    <t>СТРУКТУРА ФИНАНСИРОВАНИЯ</t>
  </si>
  <si>
    <t>Кредит</t>
  </si>
  <si>
    <t>Итого инвестиций</t>
  </si>
  <si>
    <t>АНАЛИЗ ЧУВСТВИТЕЛЬНОСТИ</t>
  </si>
  <si>
    <t>Параметр</t>
  </si>
  <si>
    <t>Пессимист (−20%)</t>
  </si>
  <si>
    <t>Базовый</t>
  </si>
  <si>
    <t>Оптимист (+20%)</t>
  </si>
  <si>
    <t>Влияние на проект</t>
  </si>
  <si>
    <t>Себестоимость строительства, руб.</t>
  </si>
  <si>
    <t>Рост затрат → ↓ NPV, ↑ срок окупаемости</t>
  </si>
  <si>
    <t>Арендная ставка, руб./кв.м./мес.</t>
  </si>
  <si>
    <t>Снижение ставки → ↓ выручки, ↓ NPV</t>
  </si>
  <si>
    <t>Рост ставки → ↑ процентов, ↓ чистой прибыли</t>
  </si>
  <si>
    <t>Инфляция (индексация аренды)</t>
  </si>
  <si>
    <t>Рост инфляции → ↑ выручки в будущем</t>
  </si>
  <si>
    <t>Ставка ЦБ (дисконтирование)</t>
  </si>
  <si>
    <t>Рост ставки → ↓ NPV (сильнее дисконт)</t>
  </si>
  <si>
    <t>БАЗОВЫЕ KPI (ссылки на лист «ИТОГ»)</t>
  </si>
  <si>
    <t>NPV</t>
  </si>
  <si>
    <t>IRR (годовая)</t>
  </si>
  <si>
    <t>ROI</t>
  </si>
  <si>
    <t>КАК ИСПОЛЬЗОВАТЬ ЭТУ ТАБЛИЦУ</t>
  </si>
  <si>
    <t>1. Измените интересующий параметр на листе «Параметры» (синие ячейки C4:C17)</t>
  </si>
  <si>
    <t>2. Excel автоматически пересчитает базовый и сценарные значения здесь</t>
  </si>
  <si>
    <t>3. Откройте лист «ИТОГ» — посмотрите новые NPV, IRR, ROI</t>
  </si>
  <si>
    <t>4. Для полной таблицы NPV по сценариям используйте Данные → Анализ «что если» → Таблица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</si>
</sst>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7F7F7F"/>
      <name val="Calibri"/>
    </font>
    <font>
      <b/>
      <sz val="11"/>
      <color rgb="FF000000"/>
      <name val="Calibri"/>
    </font>
    <font>
      <sz val="11"/>
      <color rgb="FF008000"/>
      <name val="Calibri"/>
    </font>
    <font>
      <sz val="11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" fontId="3" fillId="3" borderId="2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3" fontId="2" fillId="6" borderId="2" xfId="0" applyNumberFormat="1" applyFont="1" applyFill="1" applyBorder="1" applyAlignment="1">
      <alignment horizontal="right" vertical="center"/>
    </xf>
    <xf numFmtId="10" fontId="2" fillId="6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10" fontId="2" fillId="4" borderId="2" xfId="0" applyNumberFormat="1" applyFont="1" applyFill="1" applyBorder="1" applyAlignment="1">
      <alignment horizontal="right" vertical="center"/>
    </xf>
    <xf numFmtId="10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sqref="A1:C1"/>
    </sheetView>
  </sheetViews>
  <sheetFormatPr defaultRowHeight="15" x14ac:dyDescent="0.25"/>
  <cols>
    <col min="1" max="1" width="40" customWidth="1"/>
    <col min="2" max="2" width="22" customWidth="1"/>
    <col min="3" max="3" width="20" customWidth="1"/>
  </cols>
  <sheetData>
    <row r="1" spans="1:3" ht="24" customHeight="1" x14ac:dyDescent="0.25">
      <c r="A1" s="30" t="s">
        <v>0</v>
      </c>
      <c r="B1" s="31"/>
      <c r="C1" s="31"/>
    </row>
    <row r="2" spans="1:3" x14ac:dyDescent="0.25">
      <c r="A2" s="1" t="s">
        <v>1</v>
      </c>
      <c r="B2" s="2"/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4" t="s">
        <v>6</v>
      </c>
      <c r="B4" s="4" t="s">
        <v>7</v>
      </c>
      <c r="C4" s="5">
        <v>2000</v>
      </c>
    </row>
    <row r="5" spans="1:3" x14ac:dyDescent="0.25">
      <c r="A5" s="4" t="s">
        <v>8</v>
      </c>
      <c r="B5" s="4" t="s">
        <v>9</v>
      </c>
      <c r="C5" s="5">
        <v>100000000</v>
      </c>
    </row>
    <row r="6" spans="1:3" x14ac:dyDescent="0.25">
      <c r="A6" s="4" t="s">
        <v>10</v>
      </c>
      <c r="B6" s="4"/>
      <c r="C6" s="6">
        <v>0.65</v>
      </c>
    </row>
    <row r="7" spans="1:3" x14ac:dyDescent="0.25">
      <c r="A7" s="4" t="s">
        <v>11</v>
      </c>
      <c r="B7" s="4" t="s">
        <v>12</v>
      </c>
      <c r="C7" s="5">
        <v>1464</v>
      </c>
    </row>
    <row r="8" spans="1:3" x14ac:dyDescent="0.25">
      <c r="A8" s="4" t="s">
        <v>13</v>
      </c>
      <c r="B8" s="4"/>
      <c r="C8" s="6">
        <v>0.08</v>
      </c>
    </row>
    <row r="9" spans="1:3" x14ac:dyDescent="0.25">
      <c r="A9" s="4" t="s">
        <v>14</v>
      </c>
      <c r="B9" s="4"/>
      <c r="C9" s="6">
        <v>0.14499999999999999</v>
      </c>
    </row>
    <row r="10" spans="1:3" x14ac:dyDescent="0.25">
      <c r="A10" s="4" t="s">
        <v>15</v>
      </c>
      <c r="B10" s="4"/>
      <c r="C10" s="6">
        <v>0.2</v>
      </c>
    </row>
    <row r="11" spans="1:3" x14ac:dyDescent="0.25">
      <c r="A11" s="4" t="s">
        <v>16</v>
      </c>
      <c r="B11" s="4" t="s">
        <v>17</v>
      </c>
      <c r="C11" s="7">
        <v>12</v>
      </c>
    </row>
    <row r="12" spans="1:3" x14ac:dyDescent="0.25">
      <c r="A12" s="4" t="s">
        <v>18</v>
      </c>
      <c r="B12" s="4" t="s">
        <v>17</v>
      </c>
      <c r="C12" s="7">
        <v>180</v>
      </c>
    </row>
    <row r="13" spans="1:3" x14ac:dyDescent="0.25">
      <c r="A13" s="4" t="s">
        <v>19</v>
      </c>
      <c r="B13" s="4"/>
      <c r="C13" s="6">
        <v>0.22</v>
      </c>
    </row>
    <row r="14" spans="1:3" x14ac:dyDescent="0.25">
      <c r="A14" s="4" t="s">
        <v>20</v>
      </c>
      <c r="B14" s="4"/>
      <c r="C14" s="6">
        <v>0.2</v>
      </c>
    </row>
    <row r="15" spans="1:3" x14ac:dyDescent="0.25">
      <c r="A15" s="4" t="s">
        <v>21</v>
      </c>
      <c r="B15" s="4" t="s">
        <v>22</v>
      </c>
      <c r="C15" s="6">
        <v>2.1999999999999999E-2</v>
      </c>
    </row>
    <row r="16" spans="1:3" x14ac:dyDescent="0.25">
      <c r="A16" s="4" t="s">
        <v>23</v>
      </c>
      <c r="B16" s="4" t="s">
        <v>24</v>
      </c>
      <c r="C16" s="6">
        <v>0.15</v>
      </c>
    </row>
    <row r="17" spans="1:3" x14ac:dyDescent="0.25">
      <c r="A17" s="4" t="s">
        <v>25</v>
      </c>
      <c r="B17" s="4" t="s">
        <v>26</v>
      </c>
      <c r="C17" s="7">
        <v>40</v>
      </c>
    </row>
    <row r="18" spans="1:3" x14ac:dyDescent="0.25">
      <c r="A18" s="30" t="s">
        <v>27</v>
      </c>
      <c r="B18" s="31"/>
      <c r="C18" s="31"/>
    </row>
    <row r="19" spans="1:3" x14ac:dyDescent="0.25">
      <c r="A19" s="32" t="s">
        <v>28</v>
      </c>
      <c r="B19" s="31"/>
      <c r="C19" s="31"/>
    </row>
    <row r="20" spans="1:3" x14ac:dyDescent="0.25">
      <c r="A20" s="8" t="s">
        <v>29</v>
      </c>
      <c r="B20" s="8" t="s">
        <v>9</v>
      </c>
      <c r="C20" s="9">
        <f>C5/(1+C13)</f>
        <v>81967213.114754096</v>
      </c>
    </row>
    <row r="21" spans="1:3" x14ac:dyDescent="0.25">
      <c r="A21" s="8" t="s">
        <v>30</v>
      </c>
      <c r="B21" s="8" t="s">
        <v>9</v>
      </c>
      <c r="C21" s="9">
        <f>C5-C20</f>
        <v>18032786.885245904</v>
      </c>
    </row>
    <row r="22" spans="1:3" x14ac:dyDescent="0.25">
      <c r="A22" s="8" t="s">
        <v>31</v>
      </c>
      <c r="B22" s="8" t="s">
        <v>9</v>
      </c>
      <c r="C22" s="9">
        <f>C5*C6</f>
        <v>65000000</v>
      </c>
    </row>
    <row r="23" spans="1:3" x14ac:dyDescent="0.25">
      <c r="A23" s="8" t="s">
        <v>32</v>
      </c>
      <c r="B23" s="8" t="s">
        <v>9</v>
      </c>
      <c r="C23" s="9">
        <f>C5*(1-C6)</f>
        <v>35000000</v>
      </c>
    </row>
    <row r="24" spans="1:3" x14ac:dyDescent="0.25">
      <c r="A24" s="8" t="s">
        <v>33</v>
      </c>
      <c r="B24" s="8" t="s">
        <v>9</v>
      </c>
      <c r="C24" s="9">
        <f>C5/C4</f>
        <v>50000</v>
      </c>
    </row>
    <row r="25" spans="1:3" x14ac:dyDescent="0.25">
      <c r="A25" s="8" t="s">
        <v>34</v>
      </c>
      <c r="B25" s="8" t="s">
        <v>17</v>
      </c>
      <c r="C25" s="9">
        <f>C12-C11</f>
        <v>168</v>
      </c>
    </row>
    <row r="26" spans="1:3" x14ac:dyDescent="0.25">
      <c r="A26" s="8" t="s">
        <v>35</v>
      </c>
      <c r="B26" s="8" t="s">
        <v>36</v>
      </c>
      <c r="C26" s="9">
        <f>-PMT(C10/12,C12-C11,C5*C6)</f>
        <v>1155222.4951050859</v>
      </c>
    </row>
    <row r="27" spans="1:3" x14ac:dyDescent="0.25">
      <c r="A27" s="8" t="s">
        <v>37</v>
      </c>
      <c r="B27" s="8" t="s">
        <v>36</v>
      </c>
      <c r="C27" s="9">
        <f>C20/(C17*12)</f>
        <v>170765.02732240438</v>
      </c>
    </row>
    <row r="28" spans="1:3" x14ac:dyDescent="0.25">
      <c r="A28" s="8" t="s">
        <v>38</v>
      </c>
      <c r="B28" s="8" t="s">
        <v>36</v>
      </c>
      <c r="C28" s="9">
        <f>(C5-C5/(1+C13))/3</f>
        <v>6010928.9617486345</v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2"/>
  <sheetViews>
    <sheetView workbookViewId="0">
      <pane xSplit="3" ySplit="1" topLeftCell="D15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0" customWidth="1"/>
    <col min="3" max="5" width="16" customWidth="1"/>
    <col min="6" max="9" width="14" customWidth="1"/>
    <col min="10" max="10" width="13" customWidth="1"/>
    <col min="11" max="14" width="14" customWidth="1"/>
    <col min="15" max="16" width="16" customWidth="1"/>
    <col min="17" max="18" width="13" customWidth="1"/>
    <col min="19" max="19" width="17" customWidth="1"/>
    <col min="20" max="20" width="16" customWidth="1"/>
    <col min="21" max="22" width="14" customWidth="1"/>
  </cols>
  <sheetData>
    <row r="1" spans="1:22" ht="30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</row>
    <row r="2" spans="1:22" x14ac:dyDescent="0.25">
      <c r="A2" s="11">
        <v>1</v>
      </c>
      <c r="B2" s="11" t="s">
        <v>61</v>
      </c>
      <c r="C2" s="12" t="s">
        <v>62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f>T2*Параметры!$C$10/12</f>
        <v>90277.777777777796</v>
      </c>
      <c r="N2" s="13">
        <f t="shared" ref="N2:N13" si="0">-M2</f>
        <v>-90277.777777777796</v>
      </c>
      <c r="O2" s="13">
        <v>0</v>
      </c>
      <c r="P2" s="13">
        <v>0</v>
      </c>
      <c r="Q2" s="13">
        <f>Параметры!$C$5/Параметры!$C$11</f>
        <v>8333333.333333333</v>
      </c>
      <c r="R2" s="13">
        <f>Параметры!$C$22/Параметры!$C$11</f>
        <v>5416666.666666667</v>
      </c>
      <c r="S2" s="13">
        <v>0</v>
      </c>
      <c r="T2" s="13">
        <f>Параметры!$C$22/Параметры!$C$11*A2</f>
        <v>5416666.666666667</v>
      </c>
      <c r="U2" s="13">
        <f>-(Параметры!$C$23/Параметры!$C$11+M2)</f>
        <v>-3006944.4444444445</v>
      </c>
      <c r="V2" s="13">
        <f>U2</f>
        <v>-3006944.4444444445</v>
      </c>
    </row>
    <row r="3" spans="1:22" x14ac:dyDescent="0.25">
      <c r="A3" s="14">
        <v>2</v>
      </c>
      <c r="B3" s="14" t="s">
        <v>63</v>
      </c>
      <c r="C3" s="15" t="s">
        <v>62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f>T3*Параметры!$C$10/12</f>
        <v>180555.55555555559</v>
      </c>
      <c r="N3" s="9">
        <f t="shared" si="0"/>
        <v>-180555.55555555559</v>
      </c>
      <c r="O3" s="9">
        <v>0</v>
      </c>
      <c r="P3" s="9">
        <v>0</v>
      </c>
      <c r="Q3" s="9">
        <f>Параметры!$C$5/Параметры!$C$11</f>
        <v>8333333.333333333</v>
      </c>
      <c r="R3" s="9">
        <f>Параметры!$C$22/Параметры!$C$11</f>
        <v>5416666.666666667</v>
      </c>
      <c r="S3" s="9">
        <v>0</v>
      </c>
      <c r="T3" s="9">
        <f>Параметры!$C$22/Параметры!$C$11*A3</f>
        <v>10833333.333333334</v>
      </c>
      <c r="U3" s="9">
        <f>-(Параметры!$C$23/Параметры!$C$11+M3)</f>
        <v>-3097222.222222222</v>
      </c>
      <c r="V3" s="9">
        <f t="shared" ref="V3:V34" si="1">V2+U3</f>
        <v>-6104166.666666666</v>
      </c>
    </row>
    <row r="4" spans="1:22" x14ac:dyDescent="0.25">
      <c r="A4" s="11">
        <v>3</v>
      </c>
      <c r="B4" s="11" t="s">
        <v>64</v>
      </c>
      <c r="C4" s="12" t="s">
        <v>62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f>T4*Параметры!$C$10/12</f>
        <v>270833.33333333331</v>
      </c>
      <c r="N4" s="13">
        <f t="shared" si="0"/>
        <v>-270833.33333333331</v>
      </c>
      <c r="O4" s="13">
        <v>0</v>
      </c>
      <c r="P4" s="13">
        <v>0</v>
      </c>
      <c r="Q4" s="13">
        <f>Параметры!$C$5/Параметры!$C$11</f>
        <v>8333333.333333333</v>
      </c>
      <c r="R4" s="13">
        <f>Параметры!$C$22/Параметры!$C$11</f>
        <v>5416666.666666667</v>
      </c>
      <c r="S4" s="13">
        <v>0</v>
      </c>
      <c r="T4" s="13">
        <f>Параметры!$C$22/Параметры!$C$11*A4</f>
        <v>16250000</v>
      </c>
      <c r="U4" s="13">
        <f>-(Параметры!$C$23/Параметры!$C$11+M4)</f>
        <v>-3187500</v>
      </c>
      <c r="V4" s="13">
        <f t="shared" si="1"/>
        <v>-9291666.666666666</v>
      </c>
    </row>
    <row r="5" spans="1:22" x14ac:dyDescent="0.25">
      <c r="A5" s="14">
        <v>4</v>
      </c>
      <c r="B5" s="14" t="s">
        <v>65</v>
      </c>
      <c r="C5" s="15" t="s">
        <v>62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f>T5*Параметры!$C$10/12</f>
        <v>361111.11111111118</v>
      </c>
      <c r="N5" s="9">
        <f t="shared" si="0"/>
        <v>-361111.11111111118</v>
      </c>
      <c r="O5" s="9">
        <v>0</v>
      </c>
      <c r="P5" s="9">
        <v>0</v>
      </c>
      <c r="Q5" s="9">
        <f>Параметры!$C$5/Параметры!$C$11</f>
        <v>8333333.333333333</v>
      </c>
      <c r="R5" s="9">
        <f>Параметры!$C$22/Параметры!$C$11</f>
        <v>5416666.666666667</v>
      </c>
      <c r="S5" s="9">
        <v>0</v>
      </c>
      <c r="T5" s="9">
        <f>Параметры!$C$22/Параметры!$C$11*A5</f>
        <v>21666666.666666668</v>
      </c>
      <c r="U5" s="9">
        <f>-(Параметры!$C$23/Параметры!$C$11+M5)</f>
        <v>-3277777.7777777775</v>
      </c>
      <c r="V5" s="9">
        <f t="shared" si="1"/>
        <v>-12569444.444444444</v>
      </c>
    </row>
    <row r="6" spans="1:22" x14ac:dyDescent="0.25">
      <c r="A6" s="11">
        <v>5</v>
      </c>
      <c r="B6" s="11" t="s">
        <v>66</v>
      </c>
      <c r="C6" s="12" t="s">
        <v>62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f>T6*Параметры!$C$10/12</f>
        <v>451388.88888888899</v>
      </c>
      <c r="N6" s="13">
        <f t="shared" si="0"/>
        <v>-451388.88888888899</v>
      </c>
      <c r="O6" s="13">
        <v>0</v>
      </c>
      <c r="P6" s="13">
        <v>0</v>
      </c>
      <c r="Q6" s="13">
        <f>Параметры!$C$5/Параметры!$C$11</f>
        <v>8333333.333333333</v>
      </c>
      <c r="R6" s="13">
        <f>Параметры!$C$22/Параметры!$C$11</f>
        <v>5416666.666666667</v>
      </c>
      <c r="S6" s="13">
        <v>0</v>
      </c>
      <c r="T6" s="13">
        <f>Параметры!$C$22/Параметры!$C$11*A6</f>
        <v>27083333.333333336</v>
      </c>
      <c r="U6" s="13">
        <f>-(Параметры!$C$23/Параметры!$C$11+M6)</f>
        <v>-3368055.5555555555</v>
      </c>
      <c r="V6" s="13">
        <f t="shared" si="1"/>
        <v>-15937500</v>
      </c>
    </row>
    <row r="7" spans="1:22" x14ac:dyDescent="0.25">
      <c r="A7" s="14">
        <v>6</v>
      </c>
      <c r="B7" s="14" t="s">
        <v>67</v>
      </c>
      <c r="C7" s="15" t="s">
        <v>62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f>T7*Параметры!$C$10/12</f>
        <v>541666.66666666663</v>
      </c>
      <c r="N7" s="9">
        <f t="shared" si="0"/>
        <v>-541666.66666666663</v>
      </c>
      <c r="O7" s="9">
        <v>0</v>
      </c>
      <c r="P7" s="9">
        <v>0</v>
      </c>
      <c r="Q7" s="9">
        <f>Параметры!$C$5/Параметры!$C$11</f>
        <v>8333333.333333333</v>
      </c>
      <c r="R7" s="9">
        <f>Параметры!$C$22/Параметры!$C$11</f>
        <v>5416666.666666667</v>
      </c>
      <c r="S7" s="9">
        <v>0</v>
      </c>
      <c r="T7" s="9">
        <f>Параметры!$C$22/Параметры!$C$11*A7</f>
        <v>32500000</v>
      </c>
      <c r="U7" s="9">
        <f>-(Параметры!$C$23/Параметры!$C$11+M7)</f>
        <v>-3458333.333333333</v>
      </c>
      <c r="V7" s="9">
        <f t="shared" si="1"/>
        <v>-19395833.333333332</v>
      </c>
    </row>
    <row r="8" spans="1:22" x14ac:dyDescent="0.25">
      <c r="A8" s="11">
        <v>7</v>
      </c>
      <c r="B8" s="11" t="s">
        <v>68</v>
      </c>
      <c r="C8" s="12" t="s">
        <v>62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f>T8*Параметры!$C$10/12</f>
        <v>631944.44444444461</v>
      </c>
      <c r="N8" s="13">
        <f t="shared" si="0"/>
        <v>-631944.44444444461</v>
      </c>
      <c r="O8" s="13">
        <v>0</v>
      </c>
      <c r="P8" s="13">
        <v>0</v>
      </c>
      <c r="Q8" s="13">
        <f>Параметры!$C$5/Параметры!$C$11</f>
        <v>8333333.333333333</v>
      </c>
      <c r="R8" s="13">
        <f>Параметры!$C$22/Параметры!$C$11</f>
        <v>5416666.666666667</v>
      </c>
      <c r="S8" s="13">
        <v>0</v>
      </c>
      <c r="T8" s="13">
        <f>Параметры!$C$22/Параметры!$C$11*A8</f>
        <v>37916666.666666672</v>
      </c>
      <c r="U8" s="13">
        <f>-(Параметры!$C$23/Параметры!$C$11+M8)</f>
        <v>-3548611.111111111</v>
      </c>
      <c r="V8" s="13">
        <f t="shared" si="1"/>
        <v>-22944444.444444444</v>
      </c>
    </row>
    <row r="9" spans="1:22" x14ac:dyDescent="0.25">
      <c r="A9" s="14">
        <v>8</v>
      </c>
      <c r="B9" s="14" t="s">
        <v>69</v>
      </c>
      <c r="C9" s="15" t="s">
        <v>62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f>T9*Параметры!$C$10/12</f>
        <v>722222.22222222236</v>
      </c>
      <c r="N9" s="9">
        <f t="shared" si="0"/>
        <v>-722222.22222222236</v>
      </c>
      <c r="O9" s="9">
        <v>0</v>
      </c>
      <c r="P9" s="9">
        <v>0</v>
      </c>
      <c r="Q9" s="9">
        <f>Параметры!$C$5/Параметры!$C$11</f>
        <v>8333333.333333333</v>
      </c>
      <c r="R9" s="9">
        <f>Параметры!$C$22/Параметры!$C$11</f>
        <v>5416666.666666667</v>
      </c>
      <c r="S9" s="9">
        <v>0</v>
      </c>
      <c r="T9" s="9">
        <f>Параметры!$C$22/Параметры!$C$11*A9</f>
        <v>43333333.333333336</v>
      </c>
      <c r="U9" s="9">
        <f>-(Параметры!$C$23/Параметры!$C$11+M9)</f>
        <v>-3638888.888888889</v>
      </c>
      <c r="V9" s="9">
        <f t="shared" si="1"/>
        <v>-26583333.333333332</v>
      </c>
    </row>
    <row r="10" spans="1:22" x14ac:dyDescent="0.25">
      <c r="A10" s="11">
        <v>9</v>
      </c>
      <c r="B10" s="11" t="s">
        <v>70</v>
      </c>
      <c r="C10" s="12" t="s">
        <v>62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f>T10*Параметры!$C$10/12</f>
        <v>812500</v>
      </c>
      <c r="N10" s="13">
        <f t="shared" si="0"/>
        <v>-812500</v>
      </c>
      <c r="O10" s="13">
        <v>0</v>
      </c>
      <c r="P10" s="13">
        <v>0</v>
      </c>
      <c r="Q10" s="13">
        <f>Параметры!$C$5/Параметры!$C$11</f>
        <v>8333333.333333333</v>
      </c>
      <c r="R10" s="13">
        <f>Параметры!$C$22/Параметры!$C$11</f>
        <v>5416666.666666667</v>
      </c>
      <c r="S10" s="13">
        <v>0</v>
      </c>
      <c r="T10" s="13">
        <f>Параметры!$C$22/Параметры!$C$11*A10</f>
        <v>48750000</v>
      </c>
      <c r="U10" s="13">
        <f>-(Параметры!$C$23/Параметры!$C$11+M10)</f>
        <v>-3729166.6666666665</v>
      </c>
      <c r="V10" s="13">
        <f t="shared" si="1"/>
        <v>-30312500</v>
      </c>
    </row>
    <row r="11" spans="1:22" x14ac:dyDescent="0.25">
      <c r="A11" s="14">
        <v>10</v>
      </c>
      <c r="B11" s="14" t="s">
        <v>71</v>
      </c>
      <c r="C11" s="15" t="s">
        <v>62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f>T11*Параметры!$C$10/12</f>
        <v>902777.77777777798</v>
      </c>
      <c r="N11" s="9">
        <f t="shared" si="0"/>
        <v>-902777.77777777798</v>
      </c>
      <c r="O11" s="9">
        <v>0</v>
      </c>
      <c r="P11" s="9">
        <v>0</v>
      </c>
      <c r="Q11" s="9">
        <f>Параметры!$C$5/Параметры!$C$11</f>
        <v>8333333.333333333</v>
      </c>
      <c r="R11" s="9">
        <f>Параметры!$C$22/Параметры!$C$11</f>
        <v>5416666.666666667</v>
      </c>
      <c r="S11" s="9">
        <v>0</v>
      </c>
      <c r="T11" s="9">
        <f>Параметры!$C$22/Параметры!$C$11*A11</f>
        <v>54166666.666666672</v>
      </c>
      <c r="U11" s="9">
        <f>-(Параметры!$C$23/Параметры!$C$11+M11)</f>
        <v>-3819444.4444444445</v>
      </c>
      <c r="V11" s="9">
        <f t="shared" si="1"/>
        <v>-34131944.444444448</v>
      </c>
    </row>
    <row r="12" spans="1:22" x14ac:dyDescent="0.25">
      <c r="A12" s="11">
        <v>11</v>
      </c>
      <c r="B12" s="11" t="s">
        <v>72</v>
      </c>
      <c r="C12" s="12" t="s">
        <v>62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f>T12*Параметры!$C$10/12</f>
        <v>993055.55555555562</v>
      </c>
      <c r="N12" s="13">
        <f t="shared" si="0"/>
        <v>-993055.55555555562</v>
      </c>
      <c r="O12" s="13">
        <v>0</v>
      </c>
      <c r="P12" s="13">
        <v>0</v>
      </c>
      <c r="Q12" s="13">
        <f>Параметры!$C$5/Параметры!$C$11</f>
        <v>8333333.333333333</v>
      </c>
      <c r="R12" s="13">
        <f>Параметры!$C$22/Параметры!$C$11</f>
        <v>5416666.666666667</v>
      </c>
      <c r="S12" s="13">
        <v>0</v>
      </c>
      <c r="T12" s="13">
        <f>Параметры!$C$22/Параметры!$C$11*A12</f>
        <v>59583333.333333336</v>
      </c>
      <c r="U12" s="13">
        <f>-(Параметры!$C$23/Параметры!$C$11+M12)</f>
        <v>-3909722.222222222</v>
      </c>
      <c r="V12" s="13">
        <f t="shared" si="1"/>
        <v>-38041666.666666672</v>
      </c>
    </row>
    <row r="13" spans="1:22" x14ac:dyDescent="0.25">
      <c r="A13" s="14">
        <v>12</v>
      </c>
      <c r="B13" s="14" t="s">
        <v>73</v>
      </c>
      <c r="C13" s="15" t="s">
        <v>62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f>T13*Параметры!$C$10/12</f>
        <v>1083333.3333333333</v>
      </c>
      <c r="N13" s="9">
        <f t="shared" si="0"/>
        <v>-1083333.3333333333</v>
      </c>
      <c r="O13" s="9">
        <v>0</v>
      </c>
      <c r="P13" s="9">
        <v>0</v>
      </c>
      <c r="Q13" s="9">
        <f>Параметры!$C$5/Параметры!$C$11</f>
        <v>8333333.333333333</v>
      </c>
      <c r="R13" s="9">
        <f>Параметры!$C$22/Параметры!$C$11</f>
        <v>5416666.666666667</v>
      </c>
      <c r="S13" s="9">
        <v>0</v>
      </c>
      <c r="T13" s="9">
        <f>Параметры!$C$22/Параметры!$C$11*A13</f>
        <v>65000000</v>
      </c>
      <c r="U13" s="9">
        <f>-(Параметры!$C$23/Параметры!$C$11+M13)</f>
        <v>-4000000</v>
      </c>
      <c r="V13" s="9">
        <f t="shared" si="1"/>
        <v>-42041666.666666672</v>
      </c>
    </row>
    <row r="14" spans="1:22" x14ac:dyDescent="0.25">
      <c r="A14" s="11">
        <v>13</v>
      </c>
      <c r="B14" s="11" t="s">
        <v>74</v>
      </c>
      <c r="C14" s="12" t="s">
        <v>75</v>
      </c>
      <c r="D14" s="13">
        <f>Параметры!$C$4*Параметры!$C$7*(1+Параметры!$C$8)^INT((A14-Параметры!$C$11-1)/12)</f>
        <v>2928000</v>
      </c>
      <c r="E14" s="13">
        <f>D14/(1+Параметры!$C$13)</f>
        <v>2400000</v>
      </c>
      <c r="F14" s="13">
        <f t="shared" ref="F14:F45" si="2">D14-E14</f>
        <v>528000</v>
      </c>
      <c r="G14" s="13">
        <f>IF(AND(A14&gt;Параметры!$C$11,A14&lt;=Параметры!$C$11+3),Параметры!$C$28,0)</f>
        <v>6010928.9617486345</v>
      </c>
      <c r="H14" s="13">
        <f t="shared" ref="H14:H45" si="3">F14-G14</f>
        <v>-5482928.9617486345</v>
      </c>
      <c r="I14" s="13">
        <f>E14*Параметры!$C$16</f>
        <v>360000</v>
      </c>
      <c r="J14" s="13">
        <f>Параметры!$C$27</f>
        <v>170765.02732240438</v>
      </c>
      <c r="K14" s="13">
        <f>MAX(0,Параметры!$C$20-Параметры!$C$27*MAX(0,A14-Параметры!$C$11-1))*Параметры!$C$15/12</f>
        <v>150273.22404371583</v>
      </c>
      <c r="L14" s="13">
        <f t="shared" ref="L14:L45" si="4">E14-I14-J14-K14</f>
        <v>1718961.7486338799</v>
      </c>
      <c r="M14" s="13">
        <f>T13*Параметры!$C$10/12</f>
        <v>1083333.3333333333</v>
      </c>
      <c r="N14" s="13">
        <f t="shared" ref="N14:N45" si="5">L14-M14</f>
        <v>635628.41530054668</v>
      </c>
      <c r="O14" s="13">
        <f>MAX(0,N14*Параметры!$C$14)</f>
        <v>127125.68306010934</v>
      </c>
      <c r="P14" s="13">
        <f t="shared" ref="P14:P45" si="6">N14-O14</f>
        <v>508502.73224043736</v>
      </c>
      <c r="Q14" s="13">
        <v>0</v>
      </c>
      <c r="R14" s="13">
        <v>0</v>
      </c>
      <c r="S14" s="13">
        <f>MAX(0,MIN(Параметры!$C$26-M14,T13))</f>
        <v>71889.161771752639</v>
      </c>
      <c r="T14" s="13">
        <f t="shared" ref="T14:T45" si="7">MAX(0,T13-S14)</f>
        <v>64928110.838228248</v>
      </c>
      <c r="U14" s="13">
        <f t="shared" ref="U14:U45" si="8">P14+J14-S14-H14</f>
        <v>6090307.5595397232</v>
      </c>
      <c r="V14" s="13">
        <f t="shared" si="1"/>
        <v>-35951359.107126951</v>
      </c>
    </row>
    <row r="15" spans="1:22" x14ac:dyDescent="0.25">
      <c r="A15" s="14">
        <v>14</v>
      </c>
      <c r="B15" s="14" t="s">
        <v>76</v>
      </c>
      <c r="C15" s="15" t="s">
        <v>75</v>
      </c>
      <c r="D15" s="9">
        <f>Параметры!$C$4*Параметры!$C$7*(1+Параметры!$C$8)^INT((A15-Параметры!$C$11-1)/12)</f>
        <v>2928000</v>
      </c>
      <c r="E15" s="9">
        <f>D15/(1+Параметры!$C$13)</f>
        <v>2400000</v>
      </c>
      <c r="F15" s="9">
        <f t="shared" si="2"/>
        <v>528000</v>
      </c>
      <c r="G15" s="9">
        <f>IF(AND(A15&gt;Параметры!$C$11,A15&lt;=Параметры!$C$11+3),Параметры!$C$28,0)</f>
        <v>6010928.9617486345</v>
      </c>
      <c r="H15" s="9">
        <f t="shared" si="3"/>
        <v>-5482928.9617486345</v>
      </c>
      <c r="I15" s="9">
        <f>E15*Параметры!$C$16</f>
        <v>360000</v>
      </c>
      <c r="J15" s="9">
        <f>Параметры!$C$27</f>
        <v>170765.02732240438</v>
      </c>
      <c r="K15" s="9">
        <f>MAX(0,Параметры!$C$20-Параметры!$C$27*MAX(0,A15-Параметры!$C$11-1))*Параметры!$C$15/12</f>
        <v>149960.15482695808</v>
      </c>
      <c r="L15" s="9">
        <f t="shared" si="4"/>
        <v>1719274.8178506377</v>
      </c>
      <c r="M15" s="9">
        <f>T14*Параметры!$C$10/12</f>
        <v>1082135.1806371375</v>
      </c>
      <c r="N15" s="9">
        <f t="shared" si="5"/>
        <v>637139.63721350022</v>
      </c>
      <c r="O15" s="9">
        <f>MAX(0,N15*Параметры!$C$14)</f>
        <v>127427.92744270005</v>
      </c>
      <c r="P15" s="9">
        <f t="shared" si="6"/>
        <v>509711.7097708002</v>
      </c>
      <c r="Q15" s="9">
        <v>0</v>
      </c>
      <c r="R15" s="9">
        <v>0</v>
      </c>
      <c r="S15" s="9">
        <f>MAX(0,MIN(Параметры!$C$26-M15,T14))</f>
        <v>73087.314467948396</v>
      </c>
      <c r="T15" s="9">
        <f t="shared" si="7"/>
        <v>64855023.523760296</v>
      </c>
      <c r="U15" s="9">
        <f t="shared" si="8"/>
        <v>6090318.3843738902</v>
      </c>
      <c r="V15" s="9">
        <f t="shared" si="1"/>
        <v>-29861040.722753063</v>
      </c>
    </row>
    <row r="16" spans="1:22" x14ac:dyDescent="0.25">
      <c r="A16" s="11">
        <v>15</v>
      </c>
      <c r="B16" s="11" t="s">
        <v>77</v>
      </c>
      <c r="C16" s="12" t="s">
        <v>75</v>
      </c>
      <c r="D16" s="13">
        <f>Параметры!$C$4*Параметры!$C$7*(1+Параметры!$C$8)^INT((A16-Параметры!$C$11-1)/12)</f>
        <v>2928000</v>
      </c>
      <c r="E16" s="13">
        <f>D16/(1+Параметры!$C$13)</f>
        <v>2400000</v>
      </c>
      <c r="F16" s="13">
        <f t="shared" si="2"/>
        <v>528000</v>
      </c>
      <c r="G16" s="13">
        <f>IF(AND(A16&gt;Параметры!$C$11,A16&lt;=Параметры!$C$11+3),Параметры!$C$28,0)</f>
        <v>6010928.9617486345</v>
      </c>
      <c r="H16" s="13">
        <f t="shared" si="3"/>
        <v>-5482928.9617486345</v>
      </c>
      <c r="I16" s="13">
        <f>E16*Параметры!$C$16</f>
        <v>360000</v>
      </c>
      <c r="J16" s="13">
        <f>Параметры!$C$27</f>
        <v>170765.02732240438</v>
      </c>
      <c r="K16" s="13">
        <f>MAX(0,Параметры!$C$20-Параметры!$C$27*MAX(0,A16-Параметры!$C$11-1))*Параметры!$C$15/12</f>
        <v>149647.08561020036</v>
      </c>
      <c r="L16" s="13">
        <f t="shared" si="4"/>
        <v>1719587.8870673953</v>
      </c>
      <c r="M16" s="13">
        <f>T15*Параметры!$C$10/12</f>
        <v>1080917.0587293382</v>
      </c>
      <c r="N16" s="13">
        <f t="shared" si="5"/>
        <v>638670.82833805704</v>
      </c>
      <c r="O16" s="13">
        <f>MAX(0,N16*Параметры!$C$14)</f>
        <v>127734.16566761141</v>
      </c>
      <c r="P16" s="13">
        <f t="shared" si="6"/>
        <v>510936.66267044563</v>
      </c>
      <c r="Q16" s="13">
        <v>0</v>
      </c>
      <c r="R16" s="13">
        <v>0</v>
      </c>
      <c r="S16" s="13">
        <f>MAX(0,MIN(Параметры!$C$26-M16,T15))</f>
        <v>74305.436375747668</v>
      </c>
      <c r="T16" s="13">
        <f t="shared" si="7"/>
        <v>64780718.087384552</v>
      </c>
      <c r="U16" s="13">
        <f t="shared" si="8"/>
        <v>6090325.2153657367</v>
      </c>
      <c r="V16" s="13">
        <f t="shared" si="1"/>
        <v>-23770715.507387325</v>
      </c>
    </row>
    <row r="17" spans="1:22" x14ac:dyDescent="0.25">
      <c r="A17" s="14">
        <v>16</v>
      </c>
      <c r="B17" s="14" t="s">
        <v>78</v>
      </c>
      <c r="C17" s="15" t="s">
        <v>75</v>
      </c>
      <c r="D17" s="9">
        <f>Параметры!$C$4*Параметры!$C$7*(1+Параметры!$C$8)^INT((A17-Параметры!$C$11-1)/12)</f>
        <v>2928000</v>
      </c>
      <c r="E17" s="9">
        <f>D17/(1+Параметры!$C$13)</f>
        <v>2400000</v>
      </c>
      <c r="F17" s="9">
        <f t="shared" si="2"/>
        <v>528000</v>
      </c>
      <c r="G17" s="9">
        <f>IF(AND(A17&gt;Параметры!$C$11,A17&lt;=Параметры!$C$11+3),Параметры!$C$28,0)</f>
        <v>0</v>
      </c>
      <c r="H17" s="9">
        <f t="shared" si="3"/>
        <v>528000</v>
      </c>
      <c r="I17" s="9">
        <f>E17*Параметры!$C$16</f>
        <v>360000</v>
      </c>
      <c r="J17" s="9">
        <f>Параметры!$C$27</f>
        <v>170765.02732240438</v>
      </c>
      <c r="K17" s="9">
        <f>MAX(0,Параметры!$C$20-Параметры!$C$27*MAX(0,A17-Параметры!$C$11-1))*Параметры!$C$15/12</f>
        <v>149334.01639344261</v>
      </c>
      <c r="L17" s="9">
        <f t="shared" si="4"/>
        <v>1719900.956284153</v>
      </c>
      <c r="M17" s="9">
        <f>T16*Параметры!$C$10/12</f>
        <v>1079678.6347897425</v>
      </c>
      <c r="N17" s="9">
        <f t="shared" si="5"/>
        <v>640222.32149441051</v>
      </c>
      <c r="O17" s="9">
        <f>MAX(0,N17*Параметры!$C$14)</f>
        <v>128044.46429888211</v>
      </c>
      <c r="P17" s="9">
        <f t="shared" si="6"/>
        <v>512177.8571955284</v>
      </c>
      <c r="Q17" s="9">
        <v>0</v>
      </c>
      <c r="R17" s="9">
        <v>0</v>
      </c>
      <c r="S17" s="9">
        <f>MAX(0,MIN(Параметры!$C$26-M17,T16))</f>
        <v>75543.860315343365</v>
      </c>
      <c r="T17" s="9">
        <f t="shared" si="7"/>
        <v>64705174.227069207</v>
      </c>
      <c r="U17" s="9">
        <f t="shared" si="8"/>
        <v>79399.024202589411</v>
      </c>
      <c r="V17" s="9">
        <f t="shared" si="1"/>
        <v>-23691316.483184736</v>
      </c>
    </row>
    <row r="18" spans="1:22" x14ac:dyDescent="0.25">
      <c r="A18" s="11">
        <v>17</v>
      </c>
      <c r="B18" s="11" t="s">
        <v>79</v>
      </c>
      <c r="C18" s="12" t="s">
        <v>75</v>
      </c>
      <c r="D18" s="13">
        <f>Параметры!$C$4*Параметры!$C$7*(1+Параметры!$C$8)^INT((A18-Параметры!$C$11-1)/12)</f>
        <v>2928000</v>
      </c>
      <c r="E18" s="13">
        <f>D18/(1+Параметры!$C$13)</f>
        <v>2400000</v>
      </c>
      <c r="F18" s="13">
        <f t="shared" si="2"/>
        <v>528000</v>
      </c>
      <c r="G18" s="13">
        <f>IF(AND(A18&gt;Параметры!$C$11,A18&lt;=Параметры!$C$11+3),Параметры!$C$28,0)</f>
        <v>0</v>
      </c>
      <c r="H18" s="13">
        <f t="shared" si="3"/>
        <v>528000</v>
      </c>
      <c r="I18" s="13">
        <f>E18*Параметры!$C$16</f>
        <v>360000</v>
      </c>
      <c r="J18" s="13">
        <f>Параметры!$C$27</f>
        <v>170765.02732240438</v>
      </c>
      <c r="K18" s="13">
        <f>MAX(0,Параметры!$C$20-Параметры!$C$27*MAX(0,A18-Параметры!$C$11-1))*Параметры!$C$15/12</f>
        <v>149020.94717668489</v>
      </c>
      <c r="L18" s="13">
        <f t="shared" si="4"/>
        <v>1720214.0255009108</v>
      </c>
      <c r="M18" s="13">
        <f>T17*Параметры!$C$10/12</f>
        <v>1078419.5704511534</v>
      </c>
      <c r="N18" s="13">
        <f t="shared" si="5"/>
        <v>641794.45504975738</v>
      </c>
      <c r="O18" s="13">
        <f>MAX(0,N18*Параметры!$C$14)</f>
        <v>128358.89100995148</v>
      </c>
      <c r="P18" s="13">
        <f t="shared" si="6"/>
        <v>513435.5640398059</v>
      </c>
      <c r="Q18" s="13">
        <v>0</v>
      </c>
      <c r="R18" s="13">
        <v>0</v>
      </c>
      <c r="S18" s="13">
        <f>MAX(0,MIN(Параметры!$C$26-M18,T17))</f>
        <v>76802.924653932452</v>
      </c>
      <c r="T18" s="13">
        <f t="shared" si="7"/>
        <v>64628371.302415274</v>
      </c>
      <c r="U18" s="13">
        <f t="shared" si="8"/>
        <v>79397.666708277771</v>
      </c>
      <c r="V18" s="13">
        <f t="shared" si="1"/>
        <v>-23611918.816476457</v>
      </c>
    </row>
    <row r="19" spans="1:22" x14ac:dyDescent="0.25">
      <c r="A19" s="14">
        <v>18</v>
      </c>
      <c r="B19" s="14" t="s">
        <v>80</v>
      </c>
      <c r="C19" s="15" t="s">
        <v>75</v>
      </c>
      <c r="D19" s="9">
        <f>Параметры!$C$4*Параметры!$C$7*(1+Параметры!$C$8)^INT((A19-Параметры!$C$11-1)/12)</f>
        <v>2928000</v>
      </c>
      <c r="E19" s="9">
        <f>D19/(1+Параметры!$C$13)</f>
        <v>2400000</v>
      </c>
      <c r="F19" s="9">
        <f t="shared" si="2"/>
        <v>528000</v>
      </c>
      <c r="G19" s="9">
        <f>IF(AND(A19&gt;Параметры!$C$11,A19&lt;=Параметры!$C$11+3),Параметры!$C$28,0)</f>
        <v>0</v>
      </c>
      <c r="H19" s="9">
        <f t="shared" si="3"/>
        <v>528000</v>
      </c>
      <c r="I19" s="9">
        <f>E19*Параметры!$C$16</f>
        <v>360000</v>
      </c>
      <c r="J19" s="9">
        <f>Параметры!$C$27</f>
        <v>170765.02732240438</v>
      </c>
      <c r="K19" s="9">
        <f>MAX(0,Параметры!$C$20-Параметры!$C$27*MAX(0,A19-Параметры!$C$11-1))*Параметры!$C$15/12</f>
        <v>148707.87795992711</v>
      </c>
      <c r="L19" s="9">
        <f t="shared" si="4"/>
        <v>1720527.0947176686</v>
      </c>
      <c r="M19" s="9">
        <f>T18*Параметры!$C$10/12</f>
        <v>1077139.5217069213</v>
      </c>
      <c r="N19" s="9">
        <f t="shared" si="5"/>
        <v>643387.57301074732</v>
      </c>
      <c r="O19" s="9">
        <f>MAX(0,N19*Параметры!$C$14)</f>
        <v>128677.51460214947</v>
      </c>
      <c r="P19" s="9">
        <f t="shared" si="6"/>
        <v>514710.05840859783</v>
      </c>
      <c r="Q19" s="9">
        <v>0</v>
      </c>
      <c r="R19" s="9">
        <v>0</v>
      </c>
      <c r="S19" s="9">
        <f>MAX(0,MIN(Параметры!$C$26-M19,T18))</f>
        <v>78082.973398164613</v>
      </c>
      <c r="T19" s="9">
        <f t="shared" si="7"/>
        <v>64550288.32901711</v>
      </c>
      <c r="U19" s="9">
        <f t="shared" si="8"/>
        <v>79392.112332837656</v>
      </c>
      <c r="V19" s="9">
        <f t="shared" si="1"/>
        <v>-23532526.704143621</v>
      </c>
    </row>
    <row r="20" spans="1:22" x14ac:dyDescent="0.25">
      <c r="A20" s="11">
        <v>19</v>
      </c>
      <c r="B20" s="11" t="s">
        <v>81</v>
      </c>
      <c r="C20" s="12" t="s">
        <v>75</v>
      </c>
      <c r="D20" s="13">
        <f>Параметры!$C$4*Параметры!$C$7*(1+Параметры!$C$8)^INT((A20-Параметры!$C$11-1)/12)</f>
        <v>2928000</v>
      </c>
      <c r="E20" s="13">
        <f>D20/(1+Параметры!$C$13)</f>
        <v>2400000</v>
      </c>
      <c r="F20" s="13">
        <f t="shared" si="2"/>
        <v>528000</v>
      </c>
      <c r="G20" s="13">
        <f>IF(AND(A20&gt;Параметры!$C$11,A20&lt;=Параметры!$C$11+3),Параметры!$C$28,0)</f>
        <v>0</v>
      </c>
      <c r="H20" s="13">
        <f t="shared" si="3"/>
        <v>528000</v>
      </c>
      <c r="I20" s="13">
        <f>E20*Параметры!$C$16</f>
        <v>360000</v>
      </c>
      <c r="J20" s="13">
        <f>Параметры!$C$27</f>
        <v>170765.02732240438</v>
      </c>
      <c r="K20" s="13">
        <f>MAX(0,Параметры!$C$20-Параметры!$C$27*MAX(0,A20-Параметры!$C$11-1))*Параметры!$C$15/12</f>
        <v>148394.80874316939</v>
      </c>
      <c r="L20" s="13">
        <f t="shared" si="4"/>
        <v>1720840.1639344264</v>
      </c>
      <c r="M20" s="13">
        <f>T19*Параметры!$C$10/12</f>
        <v>1075838.138816952</v>
      </c>
      <c r="N20" s="13">
        <f t="shared" si="5"/>
        <v>645002.02511747438</v>
      </c>
      <c r="O20" s="13">
        <f>MAX(0,N20*Параметры!$C$14)</f>
        <v>129000.40502349488</v>
      </c>
      <c r="P20" s="13">
        <f t="shared" si="6"/>
        <v>516001.62009397952</v>
      </c>
      <c r="Q20" s="13">
        <v>0</v>
      </c>
      <c r="R20" s="13">
        <v>0</v>
      </c>
      <c r="S20" s="13">
        <f>MAX(0,MIN(Параметры!$C$26-M20,T19))</f>
        <v>79384.356288133888</v>
      </c>
      <c r="T20" s="13">
        <f t="shared" si="7"/>
        <v>64470903.972728975</v>
      </c>
      <c r="U20" s="13">
        <f t="shared" si="8"/>
        <v>79382.291128250072</v>
      </c>
      <c r="V20" s="13">
        <f t="shared" si="1"/>
        <v>-23453144.413015369</v>
      </c>
    </row>
    <row r="21" spans="1:22" x14ac:dyDescent="0.25">
      <c r="A21" s="14">
        <v>20</v>
      </c>
      <c r="B21" s="14" t="s">
        <v>82</v>
      </c>
      <c r="C21" s="15" t="s">
        <v>75</v>
      </c>
      <c r="D21" s="9">
        <f>Параметры!$C$4*Параметры!$C$7*(1+Параметры!$C$8)^INT((A21-Параметры!$C$11-1)/12)</f>
        <v>2928000</v>
      </c>
      <c r="E21" s="9">
        <f>D21/(1+Параметры!$C$13)</f>
        <v>2400000</v>
      </c>
      <c r="F21" s="9">
        <f t="shared" si="2"/>
        <v>528000</v>
      </c>
      <c r="G21" s="9">
        <f>IF(AND(A21&gt;Параметры!$C$11,A21&lt;=Параметры!$C$11+3),Параметры!$C$28,0)</f>
        <v>0</v>
      </c>
      <c r="H21" s="9">
        <f t="shared" si="3"/>
        <v>528000</v>
      </c>
      <c r="I21" s="9">
        <f>E21*Параметры!$C$16</f>
        <v>360000</v>
      </c>
      <c r="J21" s="9">
        <f>Параметры!$C$27</f>
        <v>170765.02732240438</v>
      </c>
      <c r="K21" s="9">
        <f>MAX(0,Параметры!$C$20-Параметры!$C$27*MAX(0,A21-Параметры!$C$11-1))*Параметры!$C$15/12</f>
        <v>148081.73952641163</v>
      </c>
      <c r="L21" s="9">
        <f t="shared" si="4"/>
        <v>1721153.2331511839</v>
      </c>
      <c r="M21" s="9">
        <f>T20*Параметры!$C$10/12</f>
        <v>1074515.0662121496</v>
      </c>
      <c r="N21" s="9">
        <f t="shared" si="5"/>
        <v>646638.16693903436</v>
      </c>
      <c r="O21" s="9">
        <f>MAX(0,N21*Параметры!$C$14)</f>
        <v>129327.63338780688</v>
      </c>
      <c r="P21" s="9">
        <f t="shared" si="6"/>
        <v>517310.53355122748</v>
      </c>
      <c r="Q21" s="9">
        <v>0</v>
      </c>
      <c r="R21" s="9">
        <v>0</v>
      </c>
      <c r="S21" s="9">
        <f>MAX(0,MIN(Параметры!$C$26-M21,T20))</f>
        <v>80707.428892936325</v>
      </c>
      <c r="T21" s="9">
        <f t="shared" si="7"/>
        <v>64390196.543836042</v>
      </c>
      <c r="U21" s="9">
        <f t="shared" si="8"/>
        <v>79368.131980695529</v>
      </c>
      <c r="V21" s="9">
        <f t="shared" si="1"/>
        <v>-23373776.281034674</v>
      </c>
    </row>
    <row r="22" spans="1:22" x14ac:dyDescent="0.25">
      <c r="A22" s="11">
        <v>21</v>
      </c>
      <c r="B22" s="11" t="s">
        <v>83</v>
      </c>
      <c r="C22" s="12" t="s">
        <v>75</v>
      </c>
      <c r="D22" s="13">
        <f>Параметры!$C$4*Параметры!$C$7*(1+Параметры!$C$8)^INT((A22-Параметры!$C$11-1)/12)</f>
        <v>2928000</v>
      </c>
      <c r="E22" s="13">
        <f>D22/(1+Параметры!$C$13)</f>
        <v>2400000</v>
      </c>
      <c r="F22" s="13">
        <f t="shared" si="2"/>
        <v>528000</v>
      </c>
      <c r="G22" s="13">
        <f>IF(AND(A22&gt;Параметры!$C$11,A22&lt;=Параметры!$C$11+3),Параметры!$C$28,0)</f>
        <v>0</v>
      </c>
      <c r="H22" s="13">
        <f t="shared" si="3"/>
        <v>528000</v>
      </c>
      <c r="I22" s="13">
        <f>E22*Параметры!$C$16</f>
        <v>360000</v>
      </c>
      <c r="J22" s="13">
        <f>Параметры!$C$27</f>
        <v>170765.02732240438</v>
      </c>
      <c r="K22" s="13">
        <f>MAX(0,Параметры!$C$20-Параметры!$C$27*MAX(0,A22-Параметры!$C$11-1))*Параметры!$C$15/12</f>
        <v>147768.67030965391</v>
      </c>
      <c r="L22" s="13">
        <f t="shared" si="4"/>
        <v>1721466.3023679417</v>
      </c>
      <c r="M22" s="13">
        <f>T21*Параметры!$C$10/12</f>
        <v>1073169.9423972673</v>
      </c>
      <c r="N22" s="13">
        <f t="shared" si="5"/>
        <v>648296.35997067438</v>
      </c>
      <c r="O22" s="13">
        <f>MAX(0,N22*Параметры!$C$14)</f>
        <v>129659.27199413488</v>
      </c>
      <c r="P22" s="13">
        <f t="shared" si="6"/>
        <v>518637.08797653951</v>
      </c>
      <c r="Q22" s="13">
        <v>0</v>
      </c>
      <c r="R22" s="13">
        <v>0</v>
      </c>
      <c r="S22" s="13">
        <f>MAX(0,MIN(Параметры!$C$26-M22,T21))</f>
        <v>82052.55270781857</v>
      </c>
      <c r="T22" s="13">
        <f t="shared" si="7"/>
        <v>64308143.991128221</v>
      </c>
      <c r="U22" s="13">
        <f t="shared" si="8"/>
        <v>79349.562591125257</v>
      </c>
      <c r="V22" s="13">
        <f t="shared" si="1"/>
        <v>-23294426.71844355</v>
      </c>
    </row>
    <row r="23" spans="1:22" x14ac:dyDescent="0.25">
      <c r="A23" s="14">
        <v>22</v>
      </c>
      <c r="B23" s="14" t="s">
        <v>84</v>
      </c>
      <c r="C23" s="15" t="s">
        <v>75</v>
      </c>
      <c r="D23" s="9">
        <f>Параметры!$C$4*Параметры!$C$7*(1+Параметры!$C$8)^INT((A23-Параметры!$C$11-1)/12)</f>
        <v>2928000</v>
      </c>
      <c r="E23" s="9">
        <f>D23/(1+Параметры!$C$13)</f>
        <v>2400000</v>
      </c>
      <c r="F23" s="9">
        <f t="shared" si="2"/>
        <v>528000</v>
      </c>
      <c r="G23" s="9">
        <f>IF(AND(A23&gt;Параметры!$C$11,A23&lt;=Параметры!$C$11+3),Параметры!$C$28,0)</f>
        <v>0</v>
      </c>
      <c r="H23" s="9">
        <f t="shared" si="3"/>
        <v>528000</v>
      </c>
      <c r="I23" s="9">
        <f>E23*Параметры!$C$16</f>
        <v>360000</v>
      </c>
      <c r="J23" s="9">
        <f>Параметры!$C$27</f>
        <v>170765.02732240438</v>
      </c>
      <c r="K23" s="9">
        <f>MAX(0,Параметры!$C$20-Параметры!$C$27*MAX(0,A23-Параметры!$C$11-1))*Параметры!$C$15/12</f>
        <v>147455.60109289616</v>
      </c>
      <c r="L23" s="9">
        <f t="shared" si="4"/>
        <v>1721779.3715846995</v>
      </c>
      <c r="M23" s="9">
        <f>T22*Параметры!$C$10/12</f>
        <v>1071802.3998521371</v>
      </c>
      <c r="N23" s="9">
        <f t="shared" si="5"/>
        <v>649976.97173256241</v>
      </c>
      <c r="O23" s="9">
        <f>MAX(0,N23*Параметры!$C$14)</f>
        <v>129995.39434651249</v>
      </c>
      <c r="P23" s="9">
        <f t="shared" si="6"/>
        <v>519981.5773860499</v>
      </c>
      <c r="Q23" s="9">
        <v>0</v>
      </c>
      <c r="R23" s="9">
        <v>0</v>
      </c>
      <c r="S23" s="9">
        <f>MAX(0,MIN(Параметры!$C$26-M23,T22))</f>
        <v>83420.095252948813</v>
      </c>
      <c r="T23" s="9">
        <f t="shared" si="7"/>
        <v>64224723.895875275</v>
      </c>
      <c r="U23" s="9">
        <f t="shared" si="8"/>
        <v>79326.509455505526</v>
      </c>
      <c r="V23" s="9">
        <f t="shared" si="1"/>
        <v>-23215100.208988044</v>
      </c>
    </row>
    <row r="24" spans="1:22" x14ac:dyDescent="0.25">
      <c r="A24" s="11">
        <v>23</v>
      </c>
      <c r="B24" s="11" t="s">
        <v>85</v>
      </c>
      <c r="C24" s="12" t="s">
        <v>75</v>
      </c>
      <c r="D24" s="13">
        <f>Параметры!$C$4*Параметры!$C$7*(1+Параметры!$C$8)^INT((A24-Параметры!$C$11-1)/12)</f>
        <v>2928000</v>
      </c>
      <c r="E24" s="13">
        <f>D24/(1+Параметры!$C$13)</f>
        <v>2400000</v>
      </c>
      <c r="F24" s="13">
        <f t="shared" si="2"/>
        <v>528000</v>
      </c>
      <c r="G24" s="13">
        <f>IF(AND(A24&gt;Параметры!$C$11,A24&lt;=Параметры!$C$11+3),Параметры!$C$28,0)</f>
        <v>0</v>
      </c>
      <c r="H24" s="13">
        <f t="shared" si="3"/>
        <v>528000</v>
      </c>
      <c r="I24" s="13">
        <f>E24*Параметры!$C$16</f>
        <v>360000</v>
      </c>
      <c r="J24" s="13">
        <f>Параметры!$C$27</f>
        <v>170765.02732240438</v>
      </c>
      <c r="K24" s="13">
        <f>MAX(0,Параметры!$C$20-Параметры!$C$27*MAX(0,A24-Параметры!$C$11-1))*Параметры!$C$15/12</f>
        <v>147142.53187613844</v>
      </c>
      <c r="L24" s="13">
        <f t="shared" si="4"/>
        <v>1722092.4408014573</v>
      </c>
      <c r="M24" s="13">
        <f>T23*Параметры!$C$10/12</f>
        <v>1070412.0649312546</v>
      </c>
      <c r="N24" s="13">
        <f t="shared" si="5"/>
        <v>651680.37587020267</v>
      </c>
      <c r="O24" s="13">
        <f>MAX(0,N24*Параметры!$C$14)</f>
        <v>130336.07517404054</v>
      </c>
      <c r="P24" s="13">
        <f t="shared" si="6"/>
        <v>521344.30069616216</v>
      </c>
      <c r="Q24" s="13">
        <v>0</v>
      </c>
      <c r="R24" s="13">
        <v>0</v>
      </c>
      <c r="S24" s="13">
        <f>MAX(0,MIN(Параметры!$C$26-M24,T23))</f>
        <v>84810.430173831293</v>
      </c>
      <c r="T24" s="13">
        <f t="shared" si="7"/>
        <v>64139913.465701446</v>
      </c>
      <c r="U24" s="13">
        <f t="shared" si="8"/>
        <v>79298.8978447353</v>
      </c>
      <c r="V24" s="13">
        <f t="shared" si="1"/>
        <v>-23135801.311143309</v>
      </c>
    </row>
    <row r="25" spans="1:22" x14ac:dyDescent="0.25">
      <c r="A25" s="14">
        <v>24</v>
      </c>
      <c r="B25" s="14" t="s">
        <v>86</v>
      </c>
      <c r="C25" s="15" t="s">
        <v>75</v>
      </c>
      <c r="D25" s="9">
        <f>Параметры!$C$4*Параметры!$C$7*(1+Параметры!$C$8)^INT((A25-Параметры!$C$11-1)/12)</f>
        <v>2928000</v>
      </c>
      <c r="E25" s="9">
        <f>D25/(1+Параметры!$C$13)</f>
        <v>2400000</v>
      </c>
      <c r="F25" s="9">
        <f t="shared" si="2"/>
        <v>528000</v>
      </c>
      <c r="G25" s="9">
        <f>IF(AND(A25&gt;Параметры!$C$11,A25&lt;=Параметры!$C$11+3),Параметры!$C$28,0)</f>
        <v>0</v>
      </c>
      <c r="H25" s="9">
        <f t="shared" si="3"/>
        <v>528000</v>
      </c>
      <c r="I25" s="9">
        <f>E25*Параметры!$C$16</f>
        <v>360000</v>
      </c>
      <c r="J25" s="9">
        <f>Параметры!$C$27</f>
        <v>170765.02732240438</v>
      </c>
      <c r="K25" s="9">
        <f>MAX(0,Параметры!$C$20-Параметры!$C$27*MAX(0,A25-Параметры!$C$11-1))*Параметры!$C$15/12</f>
        <v>146829.46265938066</v>
      </c>
      <c r="L25" s="9">
        <f t="shared" si="4"/>
        <v>1722405.510018215</v>
      </c>
      <c r="M25" s="9">
        <f>T24*Параметры!$C$10/12</f>
        <v>1068998.5577616908</v>
      </c>
      <c r="N25" s="9">
        <f t="shared" si="5"/>
        <v>653406.95225652424</v>
      </c>
      <c r="O25" s="9">
        <f>MAX(0,N25*Параметры!$C$14)</f>
        <v>130681.39045130485</v>
      </c>
      <c r="P25" s="9">
        <f t="shared" si="6"/>
        <v>522725.56180521939</v>
      </c>
      <c r="Q25" s="9">
        <v>0</v>
      </c>
      <c r="R25" s="9">
        <v>0</v>
      </c>
      <c r="S25" s="9">
        <f>MAX(0,MIN(Параметры!$C$26-M25,T24))</f>
        <v>86223.937343395082</v>
      </c>
      <c r="T25" s="9">
        <f t="shared" si="7"/>
        <v>64053689.52835805</v>
      </c>
      <c r="U25" s="9">
        <f t="shared" si="8"/>
        <v>79266.651784228627</v>
      </c>
      <c r="V25" s="9">
        <f t="shared" si="1"/>
        <v>-23056534.659359079</v>
      </c>
    </row>
    <row r="26" spans="1:22" x14ac:dyDescent="0.25">
      <c r="A26" s="11">
        <v>25</v>
      </c>
      <c r="B26" s="11" t="s">
        <v>87</v>
      </c>
      <c r="C26" s="12" t="s">
        <v>75</v>
      </c>
      <c r="D26" s="13">
        <f>Параметры!$C$4*Параметры!$C$7*(1+Параметры!$C$8)^INT((A26-Параметры!$C$11-1)/12)</f>
        <v>3162240</v>
      </c>
      <c r="E26" s="13">
        <f>D26/(1+Параметры!$C$13)</f>
        <v>2592000</v>
      </c>
      <c r="F26" s="13">
        <f t="shared" si="2"/>
        <v>570240</v>
      </c>
      <c r="G26" s="13">
        <f>IF(AND(A26&gt;Параметры!$C$11,A26&lt;=Параметры!$C$11+3),Параметры!$C$28,0)</f>
        <v>0</v>
      </c>
      <c r="H26" s="13">
        <f t="shared" si="3"/>
        <v>570240</v>
      </c>
      <c r="I26" s="13">
        <f>E26*Параметры!$C$16</f>
        <v>388800</v>
      </c>
      <c r="J26" s="13">
        <f>Параметры!$C$27</f>
        <v>170765.02732240438</v>
      </c>
      <c r="K26" s="13">
        <f>MAX(0,Параметры!$C$20-Параметры!$C$27*MAX(0,A26-Параметры!$C$11-1))*Параметры!$C$15/12</f>
        <v>146516.39344262294</v>
      </c>
      <c r="L26" s="13">
        <f t="shared" si="4"/>
        <v>1885918.5792349728</v>
      </c>
      <c r="M26" s="13">
        <f>T25*Параметры!$C$10/12</f>
        <v>1067561.492139301</v>
      </c>
      <c r="N26" s="13">
        <f t="shared" si="5"/>
        <v>818357.0870956718</v>
      </c>
      <c r="O26" s="13">
        <f>MAX(0,N26*Параметры!$C$14)</f>
        <v>163671.41741913438</v>
      </c>
      <c r="P26" s="13">
        <f t="shared" si="6"/>
        <v>654685.66967653739</v>
      </c>
      <c r="Q26" s="13">
        <v>0</v>
      </c>
      <c r="R26" s="13">
        <v>0</v>
      </c>
      <c r="S26" s="13">
        <f>MAX(0,MIN(Параметры!$C$26-M26,T25))</f>
        <v>87661.002965784865</v>
      </c>
      <c r="T26" s="13">
        <f t="shared" si="7"/>
        <v>63966028.525392264</v>
      </c>
      <c r="U26" s="13">
        <f t="shared" si="8"/>
        <v>167549.69403315685</v>
      </c>
      <c r="V26" s="13">
        <f t="shared" si="1"/>
        <v>-22888984.965325922</v>
      </c>
    </row>
    <row r="27" spans="1:22" x14ac:dyDescent="0.25">
      <c r="A27" s="14">
        <v>26</v>
      </c>
      <c r="B27" s="14" t="s">
        <v>88</v>
      </c>
      <c r="C27" s="15" t="s">
        <v>75</v>
      </c>
      <c r="D27" s="9">
        <f>Параметры!$C$4*Параметры!$C$7*(1+Параметры!$C$8)^INT((A27-Параметры!$C$11-1)/12)</f>
        <v>3162240</v>
      </c>
      <c r="E27" s="9">
        <f>D27/(1+Параметры!$C$13)</f>
        <v>2592000</v>
      </c>
      <c r="F27" s="9">
        <f t="shared" si="2"/>
        <v>570240</v>
      </c>
      <c r="G27" s="9">
        <f>IF(AND(A27&gt;Параметры!$C$11,A27&lt;=Параметры!$C$11+3),Параметры!$C$28,0)</f>
        <v>0</v>
      </c>
      <c r="H27" s="9">
        <f t="shared" si="3"/>
        <v>570240</v>
      </c>
      <c r="I27" s="9">
        <f>E27*Параметры!$C$16</f>
        <v>388800</v>
      </c>
      <c r="J27" s="9">
        <f>Параметры!$C$27</f>
        <v>170765.02732240438</v>
      </c>
      <c r="K27" s="9">
        <f>MAX(0,Параметры!$C$20-Параметры!$C$27*MAX(0,A27-Параметры!$C$11-1))*Параметры!$C$15/12</f>
        <v>146203.32422586519</v>
      </c>
      <c r="L27" s="9">
        <f t="shared" si="4"/>
        <v>1886231.6484517306</v>
      </c>
      <c r="M27" s="9">
        <f>T26*Параметры!$C$10/12</f>
        <v>1066100.4754232045</v>
      </c>
      <c r="N27" s="9">
        <f t="shared" si="5"/>
        <v>820131.17302852613</v>
      </c>
      <c r="O27" s="9">
        <f>MAX(0,N27*Параметры!$C$14)</f>
        <v>164026.23460570525</v>
      </c>
      <c r="P27" s="9">
        <f t="shared" si="6"/>
        <v>656104.93842282088</v>
      </c>
      <c r="Q27" s="9">
        <v>0</v>
      </c>
      <c r="R27" s="9">
        <v>0</v>
      </c>
      <c r="S27" s="9">
        <f>MAX(0,MIN(Параметры!$C$26-M27,T26))</f>
        <v>89122.019681881415</v>
      </c>
      <c r="T27" s="9">
        <f t="shared" si="7"/>
        <v>63876906.505710386</v>
      </c>
      <c r="U27" s="9">
        <f t="shared" si="8"/>
        <v>167507.9460633439</v>
      </c>
      <c r="V27" s="9">
        <f t="shared" si="1"/>
        <v>-22721477.019262578</v>
      </c>
    </row>
    <row r="28" spans="1:22" x14ac:dyDescent="0.25">
      <c r="A28" s="11">
        <v>27</v>
      </c>
      <c r="B28" s="11" t="s">
        <v>89</v>
      </c>
      <c r="C28" s="12" t="s">
        <v>75</v>
      </c>
      <c r="D28" s="13">
        <f>Параметры!$C$4*Параметры!$C$7*(1+Параметры!$C$8)^INT((A28-Параметры!$C$11-1)/12)</f>
        <v>3162240</v>
      </c>
      <c r="E28" s="13">
        <f>D28/(1+Параметры!$C$13)</f>
        <v>2592000</v>
      </c>
      <c r="F28" s="13">
        <f t="shared" si="2"/>
        <v>570240</v>
      </c>
      <c r="G28" s="13">
        <f>IF(AND(A28&gt;Параметры!$C$11,A28&lt;=Параметры!$C$11+3),Параметры!$C$28,0)</f>
        <v>0</v>
      </c>
      <c r="H28" s="13">
        <f t="shared" si="3"/>
        <v>570240</v>
      </c>
      <c r="I28" s="13">
        <f>E28*Параметры!$C$16</f>
        <v>388800</v>
      </c>
      <c r="J28" s="13">
        <f>Параметры!$C$27</f>
        <v>170765.02732240438</v>
      </c>
      <c r="K28" s="13">
        <f>MAX(0,Параметры!$C$20-Параметры!$C$27*MAX(0,A28-Параметры!$C$11-1))*Параметры!$C$15/12</f>
        <v>145890.25500910747</v>
      </c>
      <c r="L28" s="13">
        <f t="shared" si="4"/>
        <v>1886544.7176684882</v>
      </c>
      <c r="M28" s="13">
        <f>T27*Параметры!$C$10/12</f>
        <v>1064615.1084285064</v>
      </c>
      <c r="N28" s="13">
        <f t="shared" si="5"/>
        <v>821929.60923998174</v>
      </c>
      <c r="O28" s="13">
        <f>MAX(0,N28*Параметры!$C$14)</f>
        <v>164385.92184799636</v>
      </c>
      <c r="P28" s="13">
        <f t="shared" si="6"/>
        <v>657543.68739198544</v>
      </c>
      <c r="Q28" s="13">
        <v>0</v>
      </c>
      <c r="R28" s="13">
        <v>0</v>
      </c>
      <c r="S28" s="13">
        <f>MAX(0,MIN(Параметры!$C$26-M28,T27))</f>
        <v>90607.386676579481</v>
      </c>
      <c r="T28" s="13">
        <f t="shared" si="7"/>
        <v>63786299.119033806</v>
      </c>
      <c r="U28" s="13">
        <f t="shared" si="8"/>
        <v>167461.32803781028</v>
      </c>
      <c r="V28" s="13">
        <f t="shared" si="1"/>
        <v>-22554015.691224769</v>
      </c>
    </row>
    <row r="29" spans="1:22" x14ac:dyDescent="0.25">
      <c r="A29" s="14">
        <v>28</v>
      </c>
      <c r="B29" s="14" t="s">
        <v>90</v>
      </c>
      <c r="C29" s="15" t="s">
        <v>75</v>
      </c>
      <c r="D29" s="9">
        <f>Параметры!$C$4*Параметры!$C$7*(1+Параметры!$C$8)^INT((A29-Параметры!$C$11-1)/12)</f>
        <v>3162240</v>
      </c>
      <c r="E29" s="9">
        <f>D29/(1+Параметры!$C$13)</f>
        <v>2592000</v>
      </c>
      <c r="F29" s="9">
        <f t="shared" si="2"/>
        <v>570240</v>
      </c>
      <c r="G29" s="9">
        <f>IF(AND(A29&gt;Параметры!$C$11,A29&lt;=Параметры!$C$11+3),Параметры!$C$28,0)</f>
        <v>0</v>
      </c>
      <c r="H29" s="9">
        <f t="shared" si="3"/>
        <v>570240</v>
      </c>
      <c r="I29" s="9">
        <f>E29*Параметры!$C$16</f>
        <v>388800</v>
      </c>
      <c r="J29" s="9">
        <f>Параметры!$C$27</f>
        <v>170765.02732240438</v>
      </c>
      <c r="K29" s="9">
        <f>MAX(0,Параметры!$C$20-Параметры!$C$27*MAX(0,A29-Параметры!$C$11-1))*Параметры!$C$15/12</f>
        <v>145577.18579234972</v>
      </c>
      <c r="L29" s="9">
        <f t="shared" si="4"/>
        <v>1886857.7868852459</v>
      </c>
      <c r="M29" s="9">
        <f>T28*Параметры!$C$10/12</f>
        <v>1063104.9853172302</v>
      </c>
      <c r="N29" s="9">
        <f t="shared" si="5"/>
        <v>823752.80156801571</v>
      </c>
      <c r="O29" s="9">
        <f>MAX(0,N29*Параметры!$C$14)</f>
        <v>164750.56031360314</v>
      </c>
      <c r="P29" s="9">
        <f t="shared" si="6"/>
        <v>659002.24125441257</v>
      </c>
      <c r="Q29" s="9">
        <v>0</v>
      </c>
      <c r="R29" s="9">
        <v>0</v>
      </c>
      <c r="S29" s="9">
        <f>MAX(0,MIN(Параметры!$C$26-M29,T28))</f>
        <v>92117.50978785567</v>
      </c>
      <c r="T29" s="9">
        <f t="shared" si="7"/>
        <v>63694181.609245948</v>
      </c>
      <c r="U29" s="9">
        <f t="shared" si="8"/>
        <v>167409.75878896122</v>
      </c>
      <c r="V29" s="9">
        <f t="shared" si="1"/>
        <v>-22386605.932435807</v>
      </c>
    </row>
    <row r="30" spans="1:22" x14ac:dyDescent="0.25">
      <c r="A30" s="11">
        <v>29</v>
      </c>
      <c r="B30" s="11" t="s">
        <v>91</v>
      </c>
      <c r="C30" s="12" t="s">
        <v>75</v>
      </c>
      <c r="D30" s="13">
        <f>Параметры!$C$4*Параметры!$C$7*(1+Параметры!$C$8)^INT((A30-Параметры!$C$11-1)/12)</f>
        <v>3162240</v>
      </c>
      <c r="E30" s="13">
        <f>D30/(1+Параметры!$C$13)</f>
        <v>2592000</v>
      </c>
      <c r="F30" s="13">
        <f t="shared" si="2"/>
        <v>570240</v>
      </c>
      <c r="G30" s="13">
        <f>IF(AND(A30&gt;Параметры!$C$11,A30&lt;=Параметры!$C$11+3),Параметры!$C$28,0)</f>
        <v>0</v>
      </c>
      <c r="H30" s="13">
        <f t="shared" si="3"/>
        <v>570240</v>
      </c>
      <c r="I30" s="13">
        <f>E30*Параметры!$C$16</f>
        <v>388800</v>
      </c>
      <c r="J30" s="13">
        <f>Параметры!$C$27</f>
        <v>170765.02732240438</v>
      </c>
      <c r="K30" s="13">
        <f>MAX(0,Параметры!$C$20-Параметры!$C$27*MAX(0,A30-Параметры!$C$11-1))*Параметры!$C$15/12</f>
        <v>145264.11657559199</v>
      </c>
      <c r="L30" s="13">
        <f t="shared" si="4"/>
        <v>1887170.8561020037</v>
      </c>
      <c r="M30" s="13">
        <f>T29*Параметры!$C$10/12</f>
        <v>1061569.6934874326</v>
      </c>
      <c r="N30" s="13">
        <f t="shared" si="5"/>
        <v>825601.16261457116</v>
      </c>
      <c r="O30" s="13">
        <f>MAX(0,N30*Параметры!$C$14)</f>
        <v>165120.23252291424</v>
      </c>
      <c r="P30" s="13">
        <f t="shared" si="6"/>
        <v>660480.93009165698</v>
      </c>
      <c r="Q30" s="13">
        <v>0</v>
      </c>
      <c r="R30" s="13">
        <v>0</v>
      </c>
      <c r="S30" s="13">
        <f>MAX(0,MIN(Параметры!$C$26-M30,T29))</f>
        <v>93652.801617653342</v>
      </c>
      <c r="T30" s="13">
        <f t="shared" si="7"/>
        <v>63600528.807628296</v>
      </c>
      <c r="U30" s="13">
        <f t="shared" si="8"/>
        <v>167353.15579640795</v>
      </c>
      <c r="V30" s="13">
        <f t="shared" si="1"/>
        <v>-22219252.776639398</v>
      </c>
    </row>
    <row r="31" spans="1:22" x14ac:dyDescent="0.25">
      <c r="A31" s="14">
        <v>30</v>
      </c>
      <c r="B31" s="14" t="s">
        <v>92</v>
      </c>
      <c r="C31" s="15" t="s">
        <v>75</v>
      </c>
      <c r="D31" s="9">
        <f>Параметры!$C$4*Параметры!$C$7*(1+Параметры!$C$8)^INT((A31-Параметры!$C$11-1)/12)</f>
        <v>3162240</v>
      </c>
      <c r="E31" s="9">
        <f>D31/(1+Параметры!$C$13)</f>
        <v>2592000</v>
      </c>
      <c r="F31" s="9">
        <f t="shared" si="2"/>
        <v>570240</v>
      </c>
      <c r="G31" s="9">
        <f>IF(AND(A31&gt;Параметры!$C$11,A31&lt;=Параметры!$C$11+3),Параметры!$C$28,0)</f>
        <v>0</v>
      </c>
      <c r="H31" s="9">
        <f t="shared" si="3"/>
        <v>570240</v>
      </c>
      <c r="I31" s="9">
        <f>E31*Параметры!$C$16</f>
        <v>388800</v>
      </c>
      <c r="J31" s="9">
        <f>Параметры!$C$27</f>
        <v>170765.02732240438</v>
      </c>
      <c r="K31" s="9">
        <f>MAX(0,Параметры!$C$20-Параметры!$C$27*MAX(0,A31-Параметры!$C$11-1))*Параметры!$C$15/12</f>
        <v>144951.04735883421</v>
      </c>
      <c r="L31" s="9">
        <f t="shared" si="4"/>
        <v>1887483.9253187615</v>
      </c>
      <c r="M31" s="9">
        <f>T30*Параметры!$C$10/12</f>
        <v>1060008.8134604718</v>
      </c>
      <c r="N31" s="9">
        <f t="shared" si="5"/>
        <v>827475.11185828969</v>
      </c>
      <c r="O31" s="9">
        <f>MAX(0,N31*Параметры!$C$14)</f>
        <v>165495.02237165795</v>
      </c>
      <c r="P31" s="9">
        <f t="shared" si="6"/>
        <v>661980.0894866318</v>
      </c>
      <c r="Q31" s="9">
        <v>0</v>
      </c>
      <c r="R31" s="9">
        <v>0</v>
      </c>
      <c r="S31" s="9">
        <f>MAX(0,MIN(Параметры!$C$26-M31,T30))</f>
        <v>95213.681644614087</v>
      </c>
      <c r="T31" s="9">
        <f t="shared" si="7"/>
        <v>63505315.125983685</v>
      </c>
      <c r="U31" s="9">
        <f t="shared" si="8"/>
        <v>167291.43516442203</v>
      </c>
      <c r="V31" s="9">
        <f t="shared" si="1"/>
        <v>-22051961.341474976</v>
      </c>
    </row>
    <row r="32" spans="1:22" x14ac:dyDescent="0.25">
      <c r="A32" s="11">
        <v>31</v>
      </c>
      <c r="B32" s="11" t="s">
        <v>93</v>
      </c>
      <c r="C32" s="12" t="s">
        <v>75</v>
      </c>
      <c r="D32" s="13">
        <f>Параметры!$C$4*Параметры!$C$7*(1+Параметры!$C$8)^INT((A32-Параметры!$C$11-1)/12)</f>
        <v>3162240</v>
      </c>
      <c r="E32" s="13">
        <f>D32/(1+Параметры!$C$13)</f>
        <v>2592000</v>
      </c>
      <c r="F32" s="13">
        <f t="shared" si="2"/>
        <v>570240</v>
      </c>
      <c r="G32" s="13">
        <f>IF(AND(A32&gt;Параметры!$C$11,A32&lt;=Параметры!$C$11+3),Параметры!$C$28,0)</f>
        <v>0</v>
      </c>
      <c r="H32" s="13">
        <f t="shared" si="3"/>
        <v>570240</v>
      </c>
      <c r="I32" s="13">
        <f>E32*Параметры!$C$16</f>
        <v>388800</v>
      </c>
      <c r="J32" s="13">
        <f>Параметры!$C$27</f>
        <v>170765.02732240438</v>
      </c>
      <c r="K32" s="13">
        <f>MAX(0,Параметры!$C$20-Параметры!$C$27*MAX(0,A32-Параметры!$C$11-1))*Параметры!$C$15/12</f>
        <v>144637.97814207649</v>
      </c>
      <c r="L32" s="13">
        <f t="shared" si="4"/>
        <v>1887796.9945355193</v>
      </c>
      <c r="M32" s="13">
        <f>T31*Параметры!$C$10/12</f>
        <v>1058421.918766395</v>
      </c>
      <c r="N32" s="13">
        <f t="shared" si="5"/>
        <v>829375.07576912432</v>
      </c>
      <c r="O32" s="13">
        <f>MAX(0,N32*Параметры!$C$14)</f>
        <v>165875.01515382488</v>
      </c>
      <c r="P32" s="13">
        <f t="shared" si="6"/>
        <v>663500.0606152995</v>
      </c>
      <c r="Q32" s="13">
        <v>0</v>
      </c>
      <c r="R32" s="13">
        <v>0</v>
      </c>
      <c r="S32" s="13">
        <f>MAX(0,MIN(Параметры!$C$26-M32,T31))</f>
        <v>96800.576338690938</v>
      </c>
      <c r="T32" s="13">
        <f t="shared" si="7"/>
        <v>63408514.549644992</v>
      </c>
      <c r="U32" s="13">
        <f t="shared" si="8"/>
        <v>167224.51159901288</v>
      </c>
      <c r="V32" s="13">
        <f t="shared" si="1"/>
        <v>-21884736.829875965</v>
      </c>
    </row>
    <row r="33" spans="1:22" x14ac:dyDescent="0.25">
      <c r="A33" s="14">
        <v>32</v>
      </c>
      <c r="B33" s="14" t="s">
        <v>94</v>
      </c>
      <c r="C33" s="15" t="s">
        <v>75</v>
      </c>
      <c r="D33" s="9">
        <f>Параметры!$C$4*Параметры!$C$7*(1+Параметры!$C$8)^INT((A33-Параметры!$C$11-1)/12)</f>
        <v>3162240</v>
      </c>
      <c r="E33" s="9">
        <f>D33/(1+Параметры!$C$13)</f>
        <v>2592000</v>
      </c>
      <c r="F33" s="9">
        <f t="shared" si="2"/>
        <v>570240</v>
      </c>
      <c r="G33" s="9">
        <f>IF(AND(A33&gt;Параметры!$C$11,A33&lt;=Параметры!$C$11+3),Параметры!$C$28,0)</f>
        <v>0</v>
      </c>
      <c r="H33" s="9">
        <f t="shared" si="3"/>
        <v>570240</v>
      </c>
      <c r="I33" s="9">
        <f>E33*Параметры!$C$16</f>
        <v>388800</v>
      </c>
      <c r="J33" s="9">
        <f>Параметры!$C$27</f>
        <v>170765.02732240438</v>
      </c>
      <c r="K33" s="9">
        <f>MAX(0,Параметры!$C$20-Параметры!$C$27*MAX(0,A33-Параметры!$C$11-1))*Параметры!$C$15/12</f>
        <v>144324.90892531874</v>
      </c>
      <c r="L33" s="9">
        <f t="shared" si="4"/>
        <v>1888110.0637522768</v>
      </c>
      <c r="M33" s="9">
        <f>T32*Параметры!$C$10/12</f>
        <v>1056808.5758274167</v>
      </c>
      <c r="N33" s="9">
        <f t="shared" si="5"/>
        <v>831301.48792486009</v>
      </c>
      <c r="O33" s="9">
        <f>MAX(0,N33*Параметры!$C$14)</f>
        <v>166260.29758497202</v>
      </c>
      <c r="P33" s="9">
        <f t="shared" si="6"/>
        <v>665041.1903398881</v>
      </c>
      <c r="Q33" s="9">
        <v>0</v>
      </c>
      <c r="R33" s="9">
        <v>0</v>
      </c>
      <c r="S33" s="9">
        <f>MAX(0,MIN(Параметры!$C$26-M33,T32))</f>
        <v>98413.919277669163</v>
      </c>
      <c r="T33" s="9">
        <f t="shared" si="7"/>
        <v>63310100.630367324</v>
      </c>
      <c r="U33" s="9">
        <f t="shared" si="8"/>
        <v>167152.29838462337</v>
      </c>
      <c r="V33" s="9">
        <f t="shared" si="1"/>
        <v>-21717584.531491343</v>
      </c>
    </row>
    <row r="34" spans="1:22" x14ac:dyDescent="0.25">
      <c r="A34" s="11">
        <v>33</v>
      </c>
      <c r="B34" s="11" t="s">
        <v>95</v>
      </c>
      <c r="C34" s="12" t="s">
        <v>75</v>
      </c>
      <c r="D34" s="13">
        <f>Параметры!$C$4*Параметры!$C$7*(1+Параметры!$C$8)^INT((A34-Параметры!$C$11-1)/12)</f>
        <v>3162240</v>
      </c>
      <c r="E34" s="13">
        <f>D34/(1+Параметры!$C$13)</f>
        <v>2592000</v>
      </c>
      <c r="F34" s="13">
        <f t="shared" si="2"/>
        <v>570240</v>
      </c>
      <c r="G34" s="13">
        <f>IF(AND(A34&gt;Параметры!$C$11,A34&lt;=Параметры!$C$11+3),Параметры!$C$28,0)</f>
        <v>0</v>
      </c>
      <c r="H34" s="13">
        <f t="shared" si="3"/>
        <v>570240</v>
      </c>
      <c r="I34" s="13">
        <f>E34*Параметры!$C$16</f>
        <v>388800</v>
      </c>
      <c r="J34" s="13">
        <f>Параметры!$C$27</f>
        <v>170765.02732240438</v>
      </c>
      <c r="K34" s="13">
        <f>MAX(0,Параметры!$C$20-Параметры!$C$27*MAX(0,A34-Параметры!$C$11-1))*Параметры!$C$15/12</f>
        <v>144011.83970856102</v>
      </c>
      <c r="L34" s="13">
        <f t="shared" si="4"/>
        <v>1888423.1329690346</v>
      </c>
      <c r="M34" s="13">
        <f>T33*Параметры!$C$10/12</f>
        <v>1055168.3438394554</v>
      </c>
      <c r="N34" s="13">
        <f t="shared" si="5"/>
        <v>833254.78912957921</v>
      </c>
      <c r="O34" s="13">
        <f>MAX(0,N34*Параметры!$C$14)</f>
        <v>166650.95782591586</v>
      </c>
      <c r="P34" s="13">
        <f t="shared" si="6"/>
        <v>666603.83130366332</v>
      </c>
      <c r="Q34" s="13">
        <v>0</v>
      </c>
      <c r="R34" s="13">
        <v>0</v>
      </c>
      <c r="S34" s="13">
        <f>MAX(0,MIN(Параметры!$C$26-M34,T33))</f>
        <v>100054.1512656305</v>
      </c>
      <c r="T34" s="13">
        <f t="shared" si="7"/>
        <v>63210046.479101695</v>
      </c>
      <c r="U34" s="13">
        <f t="shared" si="8"/>
        <v>167074.70736043714</v>
      </c>
      <c r="V34" s="13">
        <f t="shared" si="1"/>
        <v>-21550509.824130908</v>
      </c>
    </row>
    <row r="35" spans="1:22" x14ac:dyDescent="0.25">
      <c r="A35" s="14">
        <v>34</v>
      </c>
      <c r="B35" s="14" t="s">
        <v>96</v>
      </c>
      <c r="C35" s="15" t="s">
        <v>75</v>
      </c>
      <c r="D35" s="9">
        <f>Параметры!$C$4*Параметры!$C$7*(1+Параметры!$C$8)^INT((A35-Параметры!$C$11-1)/12)</f>
        <v>3162240</v>
      </c>
      <c r="E35" s="9">
        <f>D35/(1+Параметры!$C$13)</f>
        <v>2592000</v>
      </c>
      <c r="F35" s="9">
        <f t="shared" si="2"/>
        <v>570240</v>
      </c>
      <c r="G35" s="9">
        <f>IF(AND(A35&gt;Параметры!$C$11,A35&lt;=Параметры!$C$11+3),Параметры!$C$28,0)</f>
        <v>0</v>
      </c>
      <c r="H35" s="9">
        <f t="shared" si="3"/>
        <v>570240</v>
      </c>
      <c r="I35" s="9">
        <f>E35*Параметры!$C$16</f>
        <v>388800</v>
      </c>
      <c r="J35" s="9">
        <f>Параметры!$C$27</f>
        <v>170765.02732240438</v>
      </c>
      <c r="K35" s="9">
        <f>MAX(0,Параметры!$C$20-Параметры!$C$27*MAX(0,A35-Параметры!$C$11-1))*Параметры!$C$15/12</f>
        <v>143698.77049180327</v>
      </c>
      <c r="L35" s="9">
        <f t="shared" si="4"/>
        <v>1888736.2021857924</v>
      </c>
      <c r="M35" s="9">
        <f>T34*Параметры!$C$10/12</f>
        <v>1053500.774651695</v>
      </c>
      <c r="N35" s="9">
        <f t="shared" si="5"/>
        <v>835235.42753409734</v>
      </c>
      <c r="O35" s="9">
        <f>MAX(0,N35*Параметры!$C$14)</f>
        <v>167047.08550681948</v>
      </c>
      <c r="P35" s="9">
        <f t="shared" si="6"/>
        <v>668188.34202727792</v>
      </c>
      <c r="Q35" s="9">
        <v>0</v>
      </c>
      <c r="R35" s="9">
        <v>0</v>
      </c>
      <c r="S35" s="9">
        <f>MAX(0,MIN(Параметры!$C$26-M35,T34))</f>
        <v>101721.72045339085</v>
      </c>
      <c r="T35" s="9">
        <f t="shared" si="7"/>
        <v>63108324.758648306</v>
      </c>
      <c r="U35" s="9">
        <f t="shared" si="8"/>
        <v>166991.64889629139</v>
      </c>
      <c r="V35" s="9">
        <f t="shared" ref="V35:V66" si="9">V34+U35</f>
        <v>-21383518.175234616</v>
      </c>
    </row>
    <row r="36" spans="1:22" x14ac:dyDescent="0.25">
      <c r="A36" s="11">
        <v>35</v>
      </c>
      <c r="B36" s="11" t="s">
        <v>97</v>
      </c>
      <c r="C36" s="12" t="s">
        <v>75</v>
      </c>
      <c r="D36" s="13">
        <f>Параметры!$C$4*Параметры!$C$7*(1+Параметры!$C$8)^INT((A36-Параметры!$C$11-1)/12)</f>
        <v>3162240</v>
      </c>
      <c r="E36" s="13">
        <f>D36/(1+Параметры!$C$13)</f>
        <v>2592000</v>
      </c>
      <c r="F36" s="13">
        <f t="shared" si="2"/>
        <v>570240</v>
      </c>
      <c r="G36" s="13">
        <f>IF(AND(A36&gt;Параметры!$C$11,A36&lt;=Параметры!$C$11+3),Параметры!$C$28,0)</f>
        <v>0</v>
      </c>
      <c r="H36" s="13">
        <f t="shared" si="3"/>
        <v>570240</v>
      </c>
      <c r="I36" s="13">
        <f>E36*Параметры!$C$16</f>
        <v>388800</v>
      </c>
      <c r="J36" s="13">
        <f>Параметры!$C$27</f>
        <v>170765.02732240438</v>
      </c>
      <c r="K36" s="13">
        <f>MAX(0,Параметры!$C$20-Параметры!$C$27*MAX(0,A36-Параметры!$C$11-1))*Параметры!$C$15/12</f>
        <v>143385.70127504555</v>
      </c>
      <c r="L36" s="13">
        <f t="shared" si="4"/>
        <v>1889049.2714025502</v>
      </c>
      <c r="M36" s="13">
        <f>T35*Параметры!$C$10/12</f>
        <v>1051805.4126441386</v>
      </c>
      <c r="N36" s="13">
        <f t="shared" si="5"/>
        <v>837243.8587584116</v>
      </c>
      <c r="O36" s="13">
        <f>MAX(0,N36*Параметры!$C$14)</f>
        <v>167448.77175168233</v>
      </c>
      <c r="P36" s="13">
        <f t="shared" si="6"/>
        <v>669795.08700672933</v>
      </c>
      <c r="Q36" s="13">
        <v>0</v>
      </c>
      <c r="R36" s="13">
        <v>0</v>
      </c>
      <c r="S36" s="13">
        <f>MAX(0,MIN(Параметры!$C$26-M36,T35))</f>
        <v>103417.08246094733</v>
      </c>
      <c r="T36" s="13">
        <f t="shared" si="7"/>
        <v>63004907.676187359</v>
      </c>
      <c r="U36" s="13">
        <f t="shared" si="8"/>
        <v>166903.03186818631</v>
      </c>
      <c r="V36" s="13">
        <f t="shared" si="9"/>
        <v>-21216615.14336643</v>
      </c>
    </row>
    <row r="37" spans="1:22" x14ac:dyDescent="0.25">
      <c r="A37" s="14">
        <v>36</v>
      </c>
      <c r="B37" s="14" t="s">
        <v>98</v>
      </c>
      <c r="C37" s="15" t="s">
        <v>75</v>
      </c>
      <c r="D37" s="9">
        <f>Параметры!$C$4*Параметры!$C$7*(1+Параметры!$C$8)^INT((A37-Параметры!$C$11-1)/12)</f>
        <v>3162240</v>
      </c>
      <c r="E37" s="9">
        <f>D37/(1+Параметры!$C$13)</f>
        <v>2592000</v>
      </c>
      <c r="F37" s="9">
        <f t="shared" si="2"/>
        <v>570240</v>
      </c>
      <c r="G37" s="9">
        <f>IF(AND(A37&gt;Параметры!$C$11,A37&lt;=Параметры!$C$11+3),Параметры!$C$28,0)</f>
        <v>0</v>
      </c>
      <c r="H37" s="9">
        <f t="shared" si="3"/>
        <v>570240</v>
      </c>
      <c r="I37" s="9">
        <f>E37*Параметры!$C$16</f>
        <v>388800</v>
      </c>
      <c r="J37" s="9">
        <f>Параметры!$C$27</f>
        <v>170765.02732240438</v>
      </c>
      <c r="K37" s="9">
        <f>MAX(0,Параметры!$C$20-Параметры!$C$27*MAX(0,A37-Параметры!$C$11-1))*Параметры!$C$15/12</f>
        <v>143072.63205828777</v>
      </c>
      <c r="L37" s="9">
        <f t="shared" si="4"/>
        <v>1889362.3406193079</v>
      </c>
      <c r="M37" s="9">
        <f>T36*Параметры!$C$10/12</f>
        <v>1050081.7946031226</v>
      </c>
      <c r="N37" s="9">
        <f t="shared" si="5"/>
        <v>839280.54601618531</v>
      </c>
      <c r="O37" s="9">
        <f>MAX(0,N37*Параметры!$C$14)</f>
        <v>167856.10920323708</v>
      </c>
      <c r="P37" s="9">
        <f t="shared" si="6"/>
        <v>671424.4368129482</v>
      </c>
      <c r="Q37" s="9">
        <v>0</v>
      </c>
      <c r="R37" s="9">
        <v>0</v>
      </c>
      <c r="S37" s="9">
        <f>MAX(0,MIN(Параметры!$C$26-M37,T36))</f>
        <v>105140.70050196326</v>
      </c>
      <c r="T37" s="9">
        <f t="shared" si="7"/>
        <v>62899766.975685395</v>
      </c>
      <c r="U37" s="9">
        <f t="shared" si="8"/>
        <v>166808.76363338926</v>
      </c>
      <c r="V37" s="9">
        <f t="shared" si="9"/>
        <v>-21049806.379733041</v>
      </c>
    </row>
    <row r="38" spans="1:22" x14ac:dyDescent="0.25">
      <c r="A38" s="11">
        <v>37</v>
      </c>
      <c r="B38" s="11" t="s">
        <v>99</v>
      </c>
      <c r="C38" s="12" t="s">
        <v>75</v>
      </c>
      <c r="D38" s="13">
        <f>Параметры!$C$4*Параметры!$C$7*(1+Параметры!$C$8)^INT((A38-Параметры!$C$11-1)/12)</f>
        <v>3415219.2</v>
      </c>
      <c r="E38" s="13">
        <f>D38/(1+Параметры!$C$13)</f>
        <v>2799360</v>
      </c>
      <c r="F38" s="13">
        <f t="shared" si="2"/>
        <v>615859.20000000019</v>
      </c>
      <c r="G38" s="13">
        <f>IF(AND(A38&gt;Параметры!$C$11,A38&lt;=Параметры!$C$11+3),Параметры!$C$28,0)</f>
        <v>0</v>
      </c>
      <c r="H38" s="13">
        <f t="shared" si="3"/>
        <v>615859.20000000019</v>
      </c>
      <c r="I38" s="13">
        <f>E38*Параметры!$C$16</f>
        <v>419904</v>
      </c>
      <c r="J38" s="13">
        <f>Параметры!$C$27</f>
        <v>170765.02732240438</v>
      </c>
      <c r="K38" s="13">
        <f>MAX(0,Параметры!$C$20-Параметры!$C$27*MAX(0,A38-Параметры!$C$11-1))*Параметры!$C$15/12</f>
        <v>142759.56284153005</v>
      </c>
      <c r="L38" s="13">
        <f t="shared" si="4"/>
        <v>2065931.4098360655</v>
      </c>
      <c r="M38" s="13">
        <f>T37*Параметры!$C$10/12</f>
        <v>1048329.4495947566</v>
      </c>
      <c r="N38" s="13">
        <f t="shared" si="5"/>
        <v>1017601.9602413089</v>
      </c>
      <c r="O38" s="13">
        <f>MAX(0,N38*Параметры!$C$14)</f>
        <v>203520.3920482618</v>
      </c>
      <c r="P38" s="13">
        <f t="shared" si="6"/>
        <v>814081.56819304707</v>
      </c>
      <c r="Q38" s="13">
        <v>0</v>
      </c>
      <c r="R38" s="13">
        <v>0</v>
      </c>
      <c r="S38" s="13">
        <f>MAX(0,MIN(Параметры!$C$26-M38,T37))</f>
        <v>106893.04551032931</v>
      </c>
      <c r="T38" s="13">
        <f t="shared" si="7"/>
        <v>62792873.930175066</v>
      </c>
      <c r="U38" s="13">
        <f t="shared" si="8"/>
        <v>262094.3500051219</v>
      </c>
      <c r="V38" s="13">
        <f t="shared" si="9"/>
        <v>-20787712.029727921</v>
      </c>
    </row>
    <row r="39" spans="1:22" x14ac:dyDescent="0.25">
      <c r="A39" s="14">
        <v>38</v>
      </c>
      <c r="B39" s="14" t="s">
        <v>100</v>
      </c>
      <c r="C39" s="15" t="s">
        <v>75</v>
      </c>
      <c r="D39" s="9">
        <f>Параметры!$C$4*Параметры!$C$7*(1+Параметры!$C$8)^INT((A39-Параметры!$C$11-1)/12)</f>
        <v>3415219.2</v>
      </c>
      <c r="E39" s="9">
        <f>D39/(1+Параметры!$C$13)</f>
        <v>2799360</v>
      </c>
      <c r="F39" s="9">
        <f t="shared" si="2"/>
        <v>615859.20000000019</v>
      </c>
      <c r="G39" s="9">
        <f>IF(AND(A39&gt;Параметры!$C$11,A39&lt;=Параметры!$C$11+3),Параметры!$C$28,0)</f>
        <v>0</v>
      </c>
      <c r="H39" s="9">
        <f t="shared" si="3"/>
        <v>615859.20000000019</v>
      </c>
      <c r="I39" s="9">
        <f>E39*Параметры!$C$16</f>
        <v>419904</v>
      </c>
      <c r="J39" s="9">
        <f>Параметры!$C$27</f>
        <v>170765.02732240438</v>
      </c>
      <c r="K39" s="9">
        <f>MAX(0,Параметры!$C$20-Параметры!$C$27*MAX(0,A39-Параметры!$C$11-1))*Параметры!$C$15/12</f>
        <v>142446.49362477229</v>
      </c>
      <c r="L39" s="9">
        <f t="shared" si="4"/>
        <v>2066244.479052823</v>
      </c>
      <c r="M39" s="9">
        <f>T38*Параметры!$C$10/12</f>
        <v>1046547.8988362512</v>
      </c>
      <c r="N39" s="9">
        <f t="shared" si="5"/>
        <v>1019696.5802165718</v>
      </c>
      <c r="O39" s="9">
        <f>MAX(0,N39*Параметры!$C$14)</f>
        <v>203939.31604331438</v>
      </c>
      <c r="P39" s="9">
        <f t="shared" si="6"/>
        <v>815757.2641732574</v>
      </c>
      <c r="Q39" s="9">
        <v>0</v>
      </c>
      <c r="R39" s="9">
        <v>0</v>
      </c>
      <c r="S39" s="9">
        <f>MAX(0,MIN(Параметры!$C$26-M39,T38))</f>
        <v>108674.59626883466</v>
      </c>
      <c r="T39" s="9">
        <f t="shared" si="7"/>
        <v>62684199.333906233</v>
      </c>
      <c r="U39" s="9">
        <f t="shared" si="8"/>
        <v>261988.49522682687</v>
      </c>
      <c r="V39" s="9">
        <f t="shared" si="9"/>
        <v>-20525723.534501094</v>
      </c>
    </row>
    <row r="40" spans="1:22" x14ac:dyDescent="0.25">
      <c r="A40" s="11">
        <v>39</v>
      </c>
      <c r="B40" s="11" t="s">
        <v>101</v>
      </c>
      <c r="C40" s="12" t="s">
        <v>75</v>
      </c>
      <c r="D40" s="13">
        <f>Параметры!$C$4*Параметры!$C$7*(1+Параметры!$C$8)^INT((A40-Параметры!$C$11-1)/12)</f>
        <v>3415219.2</v>
      </c>
      <c r="E40" s="13">
        <f>D40/(1+Параметры!$C$13)</f>
        <v>2799360</v>
      </c>
      <c r="F40" s="13">
        <f t="shared" si="2"/>
        <v>615859.20000000019</v>
      </c>
      <c r="G40" s="13">
        <f>IF(AND(A40&gt;Параметры!$C$11,A40&lt;=Параметры!$C$11+3),Параметры!$C$28,0)</f>
        <v>0</v>
      </c>
      <c r="H40" s="13">
        <f t="shared" si="3"/>
        <v>615859.20000000019</v>
      </c>
      <c r="I40" s="13">
        <f>E40*Параметры!$C$16</f>
        <v>419904</v>
      </c>
      <c r="J40" s="13">
        <f>Параметры!$C$27</f>
        <v>170765.02732240438</v>
      </c>
      <c r="K40" s="13">
        <f>MAX(0,Параметры!$C$20-Параметры!$C$27*MAX(0,A40-Параметры!$C$11-1))*Параметры!$C$15/12</f>
        <v>142133.42440801457</v>
      </c>
      <c r="L40" s="13">
        <f t="shared" si="4"/>
        <v>2066557.5482695808</v>
      </c>
      <c r="M40" s="13">
        <f>T39*Параметры!$C$10/12</f>
        <v>1044736.655565104</v>
      </c>
      <c r="N40" s="13">
        <f t="shared" si="5"/>
        <v>1021820.8927044768</v>
      </c>
      <c r="O40" s="13">
        <f>MAX(0,N40*Параметры!$C$14)</f>
        <v>204364.17854089537</v>
      </c>
      <c r="P40" s="13">
        <f t="shared" si="6"/>
        <v>817456.71416358149</v>
      </c>
      <c r="Q40" s="13">
        <v>0</v>
      </c>
      <c r="R40" s="13">
        <v>0</v>
      </c>
      <c r="S40" s="13">
        <f>MAX(0,MIN(Параметры!$C$26-M40,T39))</f>
        <v>110485.83953998191</v>
      </c>
      <c r="T40" s="13">
        <f t="shared" si="7"/>
        <v>62573713.494366251</v>
      </c>
      <c r="U40" s="13">
        <f t="shared" si="8"/>
        <v>261876.70194600383</v>
      </c>
      <c r="V40" s="13">
        <f t="shared" si="9"/>
        <v>-20263846.832555089</v>
      </c>
    </row>
    <row r="41" spans="1:22" x14ac:dyDescent="0.25">
      <c r="A41" s="14">
        <v>40</v>
      </c>
      <c r="B41" s="14" t="s">
        <v>102</v>
      </c>
      <c r="C41" s="15" t="s">
        <v>75</v>
      </c>
      <c r="D41" s="9">
        <f>Параметры!$C$4*Параметры!$C$7*(1+Параметры!$C$8)^INT((A41-Параметры!$C$11-1)/12)</f>
        <v>3415219.2</v>
      </c>
      <c r="E41" s="9">
        <f>D41/(1+Параметры!$C$13)</f>
        <v>2799360</v>
      </c>
      <c r="F41" s="9">
        <f t="shared" si="2"/>
        <v>615859.20000000019</v>
      </c>
      <c r="G41" s="9">
        <f>IF(AND(A41&gt;Параметры!$C$11,A41&lt;=Параметры!$C$11+3),Параметры!$C$28,0)</f>
        <v>0</v>
      </c>
      <c r="H41" s="9">
        <f t="shared" si="3"/>
        <v>615859.20000000019</v>
      </c>
      <c r="I41" s="9">
        <f>E41*Параметры!$C$16</f>
        <v>419904</v>
      </c>
      <c r="J41" s="9">
        <f>Параметры!$C$27</f>
        <v>170765.02732240438</v>
      </c>
      <c r="K41" s="9">
        <f>MAX(0,Параметры!$C$20-Параметры!$C$27*MAX(0,A41-Параметры!$C$11-1))*Параметры!$C$15/12</f>
        <v>141820.35519125682</v>
      </c>
      <c r="L41" s="9">
        <f t="shared" si="4"/>
        <v>2066870.6174863386</v>
      </c>
      <c r="M41" s="9">
        <f>T40*Параметры!$C$10/12</f>
        <v>1042895.2249061043</v>
      </c>
      <c r="N41" s="9">
        <f t="shared" si="5"/>
        <v>1023975.3925802343</v>
      </c>
      <c r="O41" s="9">
        <f>MAX(0,N41*Параметры!$C$14)</f>
        <v>204795.07851604687</v>
      </c>
      <c r="P41" s="9">
        <f t="shared" si="6"/>
        <v>819180.31406418746</v>
      </c>
      <c r="Q41" s="9">
        <v>0</v>
      </c>
      <c r="R41" s="9">
        <v>0</v>
      </c>
      <c r="S41" s="9">
        <f>MAX(0,MIN(Параметры!$C$26-M41,T40))</f>
        <v>112327.27019898163</v>
      </c>
      <c r="T41" s="9">
        <f t="shared" si="7"/>
        <v>62461386.224167272</v>
      </c>
      <c r="U41" s="9">
        <f t="shared" si="8"/>
        <v>261758.87118760997</v>
      </c>
      <c r="V41" s="9">
        <f t="shared" si="9"/>
        <v>-20002087.96136748</v>
      </c>
    </row>
    <row r="42" spans="1:22" x14ac:dyDescent="0.25">
      <c r="A42" s="11">
        <v>41</v>
      </c>
      <c r="B42" s="11" t="s">
        <v>103</v>
      </c>
      <c r="C42" s="12" t="s">
        <v>75</v>
      </c>
      <c r="D42" s="13">
        <f>Параметры!$C$4*Параметры!$C$7*(1+Параметры!$C$8)^INT((A42-Параметры!$C$11-1)/12)</f>
        <v>3415219.2</v>
      </c>
      <c r="E42" s="13">
        <f>D42/(1+Параметры!$C$13)</f>
        <v>2799360</v>
      </c>
      <c r="F42" s="13">
        <f t="shared" si="2"/>
        <v>615859.20000000019</v>
      </c>
      <c r="G42" s="13">
        <f>IF(AND(A42&gt;Параметры!$C$11,A42&lt;=Параметры!$C$11+3),Параметры!$C$28,0)</f>
        <v>0</v>
      </c>
      <c r="H42" s="13">
        <f t="shared" si="3"/>
        <v>615859.20000000019</v>
      </c>
      <c r="I42" s="13">
        <f>E42*Параметры!$C$16</f>
        <v>419904</v>
      </c>
      <c r="J42" s="13">
        <f>Параметры!$C$27</f>
        <v>170765.02732240438</v>
      </c>
      <c r="K42" s="13">
        <f>MAX(0,Параметры!$C$20-Параметры!$C$27*MAX(0,A42-Параметры!$C$11-1))*Параметры!$C$15/12</f>
        <v>141507.28597449907</v>
      </c>
      <c r="L42" s="13">
        <f t="shared" si="4"/>
        <v>2067183.6867030964</v>
      </c>
      <c r="M42" s="13">
        <f>T41*Параметры!$C$10/12</f>
        <v>1041023.1037361212</v>
      </c>
      <c r="N42" s="13">
        <f t="shared" si="5"/>
        <v>1026160.5829669752</v>
      </c>
      <c r="O42" s="13">
        <f>MAX(0,N42*Параметры!$C$14)</f>
        <v>205232.11659339504</v>
      </c>
      <c r="P42" s="13">
        <f t="shared" si="6"/>
        <v>820928.46637358016</v>
      </c>
      <c r="Q42" s="13">
        <v>0</v>
      </c>
      <c r="R42" s="13">
        <v>0</v>
      </c>
      <c r="S42" s="13">
        <f>MAX(0,MIN(Параметры!$C$26-M42,T41))</f>
        <v>114199.39136896469</v>
      </c>
      <c r="T42" s="13">
        <f t="shared" si="7"/>
        <v>62347186.83279831</v>
      </c>
      <c r="U42" s="13">
        <f t="shared" si="8"/>
        <v>261634.90232701972</v>
      </c>
      <c r="V42" s="13">
        <f t="shared" si="9"/>
        <v>-19740453.059040461</v>
      </c>
    </row>
    <row r="43" spans="1:22" x14ac:dyDescent="0.25">
      <c r="A43" s="14">
        <v>42</v>
      </c>
      <c r="B43" s="14" t="s">
        <v>104</v>
      </c>
      <c r="C43" s="15" t="s">
        <v>75</v>
      </c>
      <c r="D43" s="9">
        <f>Параметры!$C$4*Параметры!$C$7*(1+Параметры!$C$8)^INT((A43-Параметры!$C$11-1)/12)</f>
        <v>3415219.2</v>
      </c>
      <c r="E43" s="9">
        <f>D43/(1+Параметры!$C$13)</f>
        <v>2799360</v>
      </c>
      <c r="F43" s="9">
        <f t="shared" si="2"/>
        <v>615859.20000000019</v>
      </c>
      <c r="G43" s="9">
        <f>IF(AND(A43&gt;Параметры!$C$11,A43&lt;=Параметры!$C$11+3),Параметры!$C$28,0)</f>
        <v>0</v>
      </c>
      <c r="H43" s="9">
        <f t="shared" si="3"/>
        <v>615859.20000000019</v>
      </c>
      <c r="I43" s="9">
        <f>E43*Параметры!$C$16</f>
        <v>419904</v>
      </c>
      <c r="J43" s="9">
        <f>Параметры!$C$27</f>
        <v>170765.02732240438</v>
      </c>
      <c r="K43" s="9">
        <f>MAX(0,Параметры!$C$20-Параметры!$C$27*MAX(0,A43-Параметры!$C$11-1))*Параметры!$C$15/12</f>
        <v>141194.21675774132</v>
      </c>
      <c r="L43" s="9">
        <f t="shared" si="4"/>
        <v>2067496.7559198542</v>
      </c>
      <c r="M43" s="9">
        <f>T42*Параметры!$C$10/12</f>
        <v>1039119.7805466385</v>
      </c>
      <c r="N43" s="9">
        <f t="shared" si="5"/>
        <v>1028376.9753732156</v>
      </c>
      <c r="O43" s="9">
        <f>MAX(0,N43*Параметры!$C$14)</f>
        <v>205675.39507464314</v>
      </c>
      <c r="P43" s="9">
        <f t="shared" si="6"/>
        <v>822701.58029857255</v>
      </c>
      <c r="Q43" s="9">
        <v>0</v>
      </c>
      <c r="R43" s="9">
        <v>0</v>
      </c>
      <c r="S43" s="9">
        <f>MAX(0,MIN(Параметры!$C$26-M43,T42))</f>
        <v>116102.71455844736</v>
      </c>
      <c r="T43" s="9">
        <f t="shared" si="7"/>
        <v>62231084.118239865</v>
      </c>
      <c r="U43" s="9">
        <f t="shared" si="8"/>
        <v>261504.69306252932</v>
      </c>
      <c r="V43" s="9">
        <f t="shared" si="9"/>
        <v>-19478948.365977932</v>
      </c>
    </row>
    <row r="44" spans="1:22" x14ac:dyDescent="0.25">
      <c r="A44" s="11">
        <v>43</v>
      </c>
      <c r="B44" s="11" t="s">
        <v>105</v>
      </c>
      <c r="C44" s="12" t="s">
        <v>75</v>
      </c>
      <c r="D44" s="13">
        <f>Параметры!$C$4*Параметры!$C$7*(1+Параметры!$C$8)^INT((A44-Параметры!$C$11-1)/12)</f>
        <v>3415219.2</v>
      </c>
      <c r="E44" s="13">
        <f>D44/(1+Параметры!$C$13)</f>
        <v>2799360</v>
      </c>
      <c r="F44" s="13">
        <f t="shared" si="2"/>
        <v>615859.20000000019</v>
      </c>
      <c r="G44" s="13">
        <f>IF(AND(A44&gt;Параметры!$C$11,A44&lt;=Параметры!$C$11+3),Параметры!$C$28,0)</f>
        <v>0</v>
      </c>
      <c r="H44" s="13">
        <f t="shared" si="3"/>
        <v>615859.20000000019</v>
      </c>
      <c r="I44" s="13">
        <f>E44*Параметры!$C$16</f>
        <v>419904</v>
      </c>
      <c r="J44" s="13">
        <f>Параметры!$C$27</f>
        <v>170765.02732240438</v>
      </c>
      <c r="K44" s="13">
        <f>MAX(0,Параметры!$C$20-Параметры!$C$27*MAX(0,A44-Параметры!$C$11-1))*Параметры!$C$15/12</f>
        <v>140881.1475409836</v>
      </c>
      <c r="L44" s="13">
        <f t="shared" si="4"/>
        <v>2067809.8251366119</v>
      </c>
      <c r="M44" s="13">
        <f>T43*Параметры!$C$10/12</f>
        <v>1037184.7353039979</v>
      </c>
      <c r="N44" s="13">
        <f t="shared" si="5"/>
        <v>1030625.0898326141</v>
      </c>
      <c r="O44" s="13">
        <f>MAX(0,N44*Параметры!$C$14)</f>
        <v>206125.01796652284</v>
      </c>
      <c r="P44" s="13">
        <f t="shared" si="6"/>
        <v>824500.07186609122</v>
      </c>
      <c r="Q44" s="13">
        <v>0</v>
      </c>
      <c r="R44" s="13">
        <v>0</v>
      </c>
      <c r="S44" s="13">
        <f>MAX(0,MIN(Параметры!$C$26-M44,T43))</f>
        <v>118037.75980108802</v>
      </c>
      <c r="T44" s="13">
        <f t="shared" si="7"/>
        <v>62113046.358438775</v>
      </c>
      <c r="U44" s="13">
        <f t="shared" si="8"/>
        <v>261368.13938740746</v>
      </c>
      <c r="V44" s="13">
        <f t="shared" si="9"/>
        <v>-19217580.226590525</v>
      </c>
    </row>
    <row r="45" spans="1:22" x14ac:dyDescent="0.25">
      <c r="A45" s="14">
        <v>44</v>
      </c>
      <c r="B45" s="14" t="s">
        <v>106</v>
      </c>
      <c r="C45" s="15" t="s">
        <v>75</v>
      </c>
      <c r="D45" s="9">
        <f>Параметры!$C$4*Параметры!$C$7*(1+Параметры!$C$8)^INT((A45-Параметры!$C$11-1)/12)</f>
        <v>3415219.2</v>
      </c>
      <c r="E45" s="9">
        <f>D45/(1+Параметры!$C$13)</f>
        <v>2799360</v>
      </c>
      <c r="F45" s="9">
        <f t="shared" si="2"/>
        <v>615859.20000000019</v>
      </c>
      <c r="G45" s="9">
        <f>IF(AND(A45&gt;Параметры!$C$11,A45&lt;=Параметры!$C$11+3),Параметры!$C$28,0)</f>
        <v>0</v>
      </c>
      <c r="H45" s="9">
        <f t="shared" si="3"/>
        <v>615859.20000000019</v>
      </c>
      <c r="I45" s="9">
        <f>E45*Параметры!$C$16</f>
        <v>419904</v>
      </c>
      <c r="J45" s="9">
        <f>Параметры!$C$27</f>
        <v>170765.02732240438</v>
      </c>
      <c r="K45" s="9">
        <f>MAX(0,Параметры!$C$20-Параметры!$C$27*MAX(0,A45-Параметры!$C$11-1))*Параметры!$C$15/12</f>
        <v>140568.07832422585</v>
      </c>
      <c r="L45" s="9">
        <f t="shared" si="4"/>
        <v>2068122.8943533697</v>
      </c>
      <c r="M45" s="9">
        <f>T44*Параметры!$C$10/12</f>
        <v>1035217.4393073129</v>
      </c>
      <c r="N45" s="9">
        <f t="shared" si="5"/>
        <v>1032905.4550460568</v>
      </c>
      <c r="O45" s="9">
        <f>MAX(0,N45*Параметры!$C$14)</f>
        <v>206581.09100921138</v>
      </c>
      <c r="P45" s="9">
        <f t="shared" si="6"/>
        <v>826324.36403684539</v>
      </c>
      <c r="Q45" s="9">
        <v>0</v>
      </c>
      <c r="R45" s="9">
        <v>0</v>
      </c>
      <c r="S45" s="9">
        <f>MAX(0,MIN(Параметры!$C$26-M45,T44))</f>
        <v>120005.05579777295</v>
      </c>
      <c r="T45" s="9">
        <f t="shared" si="7"/>
        <v>61993041.302641004</v>
      </c>
      <c r="U45" s="9">
        <f t="shared" si="8"/>
        <v>261225.13556147669</v>
      </c>
      <c r="V45" s="9">
        <f t="shared" si="9"/>
        <v>-18956355.091029048</v>
      </c>
    </row>
    <row r="46" spans="1:22" x14ac:dyDescent="0.25">
      <c r="A46" s="11">
        <v>45</v>
      </c>
      <c r="B46" s="11" t="s">
        <v>107</v>
      </c>
      <c r="C46" s="12" t="s">
        <v>75</v>
      </c>
      <c r="D46" s="13">
        <f>Параметры!$C$4*Параметры!$C$7*(1+Параметры!$C$8)^INT((A46-Параметры!$C$11-1)/12)</f>
        <v>3415219.2</v>
      </c>
      <c r="E46" s="13">
        <f>D46/(1+Параметры!$C$13)</f>
        <v>2799360</v>
      </c>
      <c r="F46" s="13">
        <f t="shared" ref="F46:F77" si="10">D46-E46</f>
        <v>615859.20000000019</v>
      </c>
      <c r="G46" s="13">
        <f>IF(AND(A46&gt;Параметры!$C$11,A46&lt;=Параметры!$C$11+3),Параметры!$C$28,0)</f>
        <v>0</v>
      </c>
      <c r="H46" s="13">
        <f t="shared" ref="H46:H77" si="11">F46-G46</f>
        <v>615859.20000000019</v>
      </c>
      <c r="I46" s="13">
        <f>E46*Параметры!$C$16</f>
        <v>419904</v>
      </c>
      <c r="J46" s="13">
        <f>Параметры!$C$27</f>
        <v>170765.02732240438</v>
      </c>
      <c r="K46" s="13">
        <f>MAX(0,Параметры!$C$20-Параметры!$C$27*MAX(0,A46-Параметры!$C$11-1))*Параметры!$C$15/12</f>
        <v>140255.0091074681</v>
      </c>
      <c r="L46" s="13">
        <f t="shared" ref="L46:L77" si="12">E46-I46-J46-K46</f>
        <v>2068435.9635701273</v>
      </c>
      <c r="M46" s="13">
        <f>T45*Параметры!$C$10/12</f>
        <v>1033217.3550440167</v>
      </c>
      <c r="N46" s="13">
        <f t="shared" ref="N46:N77" si="13">L46-M46</f>
        <v>1035218.6085261105</v>
      </c>
      <c r="O46" s="13">
        <f>MAX(0,N46*Параметры!$C$14)</f>
        <v>207043.72170522212</v>
      </c>
      <c r="P46" s="13">
        <f t="shared" ref="P46:P77" si="14">N46-O46</f>
        <v>828174.88682088838</v>
      </c>
      <c r="Q46" s="13">
        <v>0</v>
      </c>
      <c r="R46" s="13">
        <v>0</v>
      </c>
      <c r="S46" s="13">
        <f>MAX(0,MIN(Параметры!$C$26-M46,T45))</f>
        <v>122005.14006106916</v>
      </c>
      <c r="T46" s="13">
        <f t="shared" ref="T46:T77" si="15">MAX(0,T45-S46)</f>
        <v>61871036.162579939</v>
      </c>
      <c r="U46" s="13">
        <f t="shared" ref="U46:U77" si="16">P46+J46-S46-H46</f>
        <v>261075.57408222335</v>
      </c>
      <c r="V46" s="13">
        <f t="shared" si="9"/>
        <v>-18695279.516946826</v>
      </c>
    </row>
    <row r="47" spans="1:22" x14ac:dyDescent="0.25">
      <c r="A47" s="14">
        <v>46</v>
      </c>
      <c r="B47" s="14" t="s">
        <v>108</v>
      </c>
      <c r="C47" s="15" t="s">
        <v>75</v>
      </c>
      <c r="D47" s="9">
        <f>Параметры!$C$4*Параметры!$C$7*(1+Параметры!$C$8)^INT((A47-Параметры!$C$11-1)/12)</f>
        <v>3415219.2</v>
      </c>
      <c r="E47" s="9">
        <f>D47/(1+Параметры!$C$13)</f>
        <v>2799360</v>
      </c>
      <c r="F47" s="9">
        <f t="shared" si="10"/>
        <v>615859.20000000019</v>
      </c>
      <c r="G47" s="9">
        <f>IF(AND(A47&gt;Параметры!$C$11,A47&lt;=Параметры!$C$11+3),Параметры!$C$28,0)</f>
        <v>0</v>
      </c>
      <c r="H47" s="9">
        <f t="shared" si="11"/>
        <v>615859.20000000019</v>
      </c>
      <c r="I47" s="9">
        <f>E47*Параметры!$C$16</f>
        <v>419904</v>
      </c>
      <c r="J47" s="9">
        <f>Параметры!$C$27</f>
        <v>170765.02732240438</v>
      </c>
      <c r="K47" s="9">
        <f>MAX(0,Параметры!$C$20-Параметры!$C$27*MAX(0,A47-Параметры!$C$11-1))*Параметры!$C$15/12</f>
        <v>139941.93989071038</v>
      </c>
      <c r="L47" s="9">
        <f t="shared" si="12"/>
        <v>2068749.032786885</v>
      </c>
      <c r="M47" s="9">
        <f>T46*Параметры!$C$10/12</f>
        <v>1031183.936042999</v>
      </c>
      <c r="N47" s="9">
        <f t="shared" si="13"/>
        <v>1037565.096743886</v>
      </c>
      <c r="O47" s="9">
        <f>MAX(0,N47*Параметры!$C$14)</f>
        <v>207513.01934877722</v>
      </c>
      <c r="P47" s="9">
        <f t="shared" si="14"/>
        <v>830052.07739510876</v>
      </c>
      <c r="Q47" s="9">
        <v>0</v>
      </c>
      <c r="R47" s="9">
        <v>0</v>
      </c>
      <c r="S47" s="9">
        <f>MAX(0,MIN(Параметры!$C$26-M47,T46))</f>
        <v>124038.55906208686</v>
      </c>
      <c r="T47" s="9">
        <f t="shared" si="15"/>
        <v>61746997.603517853</v>
      </c>
      <c r="U47" s="9">
        <f t="shared" si="16"/>
        <v>260919.34565542603</v>
      </c>
      <c r="V47" s="9">
        <f t="shared" si="9"/>
        <v>-18434360.1712914</v>
      </c>
    </row>
    <row r="48" spans="1:22" x14ac:dyDescent="0.25">
      <c r="A48" s="11">
        <v>47</v>
      </c>
      <c r="B48" s="11" t="s">
        <v>109</v>
      </c>
      <c r="C48" s="12" t="s">
        <v>75</v>
      </c>
      <c r="D48" s="13">
        <f>Параметры!$C$4*Параметры!$C$7*(1+Параметры!$C$8)^INT((A48-Параметры!$C$11-1)/12)</f>
        <v>3415219.2</v>
      </c>
      <c r="E48" s="13">
        <f>D48/(1+Параметры!$C$13)</f>
        <v>2799360</v>
      </c>
      <c r="F48" s="13">
        <f t="shared" si="10"/>
        <v>615859.20000000019</v>
      </c>
      <c r="G48" s="13">
        <f>IF(AND(A48&gt;Параметры!$C$11,A48&lt;=Параметры!$C$11+3),Параметры!$C$28,0)</f>
        <v>0</v>
      </c>
      <c r="H48" s="13">
        <f t="shared" si="11"/>
        <v>615859.20000000019</v>
      </c>
      <c r="I48" s="13">
        <f>E48*Параметры!$C$16</f>
        <v>419904</v>
      </c>
      <c r="J48" s="13">
        <f>Параметры!$C$27</f>
        <v>170765.02732240438</v>
      </c>
      <c r="K48" s="13">
        <f>MAX(0,Параметры!$C$20-Параметры!$C$27*MAX(0,A48-Параметры!$C$11-1))*Параметры!$C$15/12</f>
        <v>139628.87067395262</v>
      </c>
      <c r="L48" s="13">
        <f t="shared" si="12"/>
        <v>2069062.1020036428</v>
      </c>
      <c r="M48" s="13">
        <f>T47*Параметры!$C$10/12</f>
        <v>1029116.6267252975</v>
      </c>
      <c r="N48" s="13">
        <f t="shared" si="13"/>
        <v>1039945.4752783453</v>
      </c>
      <c r="O48" s="13">
        <f>MAX(0,N48*Параметры!$C$14)</f>
        <v>207989.09505566908</v>
      </c>
      <c r="P48" s="13">
        <f t="shared" si="14"/>
        <v>831956.38022267621</v>
      </c>
      <c r="Q48" s="13">
        <v>0</v>
      </c>
      <c r="R48" s="13">
        <v>0</v>
      </c>
      <c r="S48" s="13">
        <f>MAX(0,MIN(Параметры!$C$26-M48,T47))</f>
        <v>126105.86837978836</v>
      </c>
      <c r="T48" s="13">
        <f t="shared" si="15"/>
        <v>61620891.735138066</v>
      </c>
      <c r="U48" s="13">
        <f t="shared" si="16"/>
        <v>260756.3391652921</v>
      </c>
      <c r="V48" s="13">
        <f t="shared" si="9"/>
        <v>-18173603.832126107</v>
      </c>
    </row>
    <row r="49" spans="1:22" x14ac:dyDescent="0.25">
      <c r="A49" s="14">
        <v>48</v>
      </c>
      <c r="B49" s="14" t="s">
        <v>110</v>
      </c>
      <c r="C49" s="15" t="s">
        <v>75</v>
      </c>
      <c r="D49" s="9">
        <f>Параметры!$C$4*Параметры!$C$7*(1+Параметры!$C$8)^INT((A49-Параметры!$C$11-1)/12)</f>
        <v>3415219.2</v>
      </c>
      <c r="E49" s="9">
        <f>D49/(1+Параметры!$C$13)</f>
        <v>2799360</v>
      </c>
      <c r="F49" s="9">
        <f t="shared" si="10"/>
        <v>615859.20000000019</v>
      </c>
      <c r="G49" s="9">
        <f>IF(AND(A49&gt;Параметры!$C$11,A49&lt;=Параметры!$C$11+3),Параметры!$C$28,0)</f>
        <v>0</v>
      </c>
      <c r="H49" s="9">
        <f t="shared" si="11"/>
        <v>615859.20000000019</v>
      </c>
      <c r="I49" s="9">
        <f>E49*Параметры!$C$16</f>
        <v>419904</v>
      </c>
      <c r="J49" s="9">
        <f>Параметры!$C$27</f>
        <v>170765.02732240438</v>
      </c>
      <c r="K49" s="9">
        <f>MAX(0,Параметры!$C$20-Параметры!$C$27*MAX(0,A49-Параметры!$C$11-1))*Параметры!$C$15/12</f>
        <v>139315.80145719487</v>
      </c>
      <c r="L49" s="9">
        <f t="shared" si="12"/>
        <v>2069375.1712204006</v>
      </c>
      <c r="M49" s="9">
        <f>T48*Параметры!$C$10/12</f>
        <v>1027014.8622523012</v>
      </c>
      <c r="N49" s="9">
        <f t="shared" si="13"/>
        <v>1042360.3089680994</v>
      </c>
      <c r="O49" s="9">
        <f>MAX(0,N49*Параметры!$C$14)</f>
        <v>208472.06179361988</v>
      </c>
      <c r="P49" s="9">
        <f t="shared" si="14"/>
        <v>833888.24717447953</v>
      </c>
      <c r="Q49" s="9">
        <v>0</v>
      </c>
      <c r="R49" s="9">
        <v>0</v>
      </c>
      <c r="S49" s="9">
        <f>MAX(0,MIN(Параметры!$C$26-M49,T48))</f>
        <v>128207.63285278471</v>
      </c>
      <c r="T49" s="9">
        <f t="shared" si="15"/>
        <v>61492684.102285281</v>
      </c>
      <c r="U49" s="9">
        <f t="shared" si="16"/>
        <v>260586.44164409896</v>
      </c>
      <c r="V49" s="9">
        <f t="shared" si="9"/>
        <v>-17913017.390482008</v>
      </c>
    </row>
    <row r="50" spans="1:22" x14ac:dyDescent="0.25">
      <c r="A50" s="11">
        <v>49</v>
      </c>
      <c r="B50" s="11" t="s">
        <v>111</v>
      </c>
      <c r="C50" s="12" t="s">
        <v>75</v>
      </c>
      <c r="D50" s="13">
        <f>Параметры!$C$4*Параметры!$C$7*(1+Параметры!$C$8)^INT((A50-Параметры!$C$11-1)/12)</f>
        <v>3688436.7360000005</v>
      </c>
      <c r="E50" s="13">
        <f>D50/(1+Параметры!$C$13)</f>
        <v>3023308.8000000003</v>
      </c>
      <c r="F50" s="13">
        <f t="shared" si="10"/>
        <v>665127.93600000022</v>
      </c>
      <c r="G50" s="13">
        <f>IF(AND(A50&gt;Параметры!$C$11,A50&lt;=Параметры!$C$11+3),Параметры!$C$28,0)</f>
        <v>0</v>
      </c>
      <c r="H50" s="13">
        <f t="shared" si="11"/>
        <v>665127.93600000022</v>
      </c>
      <c r="I50" s="13">
        <f>E50*Параметры!$C$16</f>
        <v>453496.32000000001</v>
      </c>
      <c r="J50" s="13">
        <f>Параметры!$C$27</f>
        <v>170765.02732240438</v>
      </c>
      <c r="K50" s="13">
        <f>MAX(0,Параметры!$C$20-Параметры!$C$27*MAX(0,A50-Параметры!$C$11-1))*Параметры!$C$15/12</f>
        <v>139002.73224043715</v>
      </c>
      <c r="L50" s="13">
        <f t="shared" si="12"/>
        <v>2260044.7204371588</v>
      </c>
      <c r="M50" s="13">
        <f>T49*Параметры!$C$10/12</f>
        <v>1024878.0683714213</v>
      </c>
      <c r="N50" s="13">
        <f t="shared" si="13"/>
        <v>1235166.6520657376</v>
      </c>
      <c r="O50" s="13">
        <f>MAX(0,N50*Параметры!$C$14)</f>
        <v>247033.33041314755</v>
      </c>
      <c r="P50" s="13">
        <f t="shared" si="14"/>
        <v>988133.32165259006</v>
      </c>
      <c r="Q50" s="13">
        <v>0</v>
      </c>
      <c r="R50" s="13">
        <v>0</v>
      </c>
      <c r="S50" s="13">
        <f>MAX(0,MIN(Параметры!$C$26-M50,T49))</f>
        <v>130344.42673366459</v>
      </c>
      <c r="T50" s="13">
        <f t="shared" si="15"/>
        <v>61362339.675551616</v>
      </c>
      <c r="U50" s="13">
        <f t="shared" si="16"/>
        <v>363425.98624132958</v>
      </c>
      <c r="V50" s="13">
        <f t="shared" si="9"/>
        <v>-17549591.404240679</v>
      </c>
    </row>
    <row r="51" spans="1:22" x14ac:dyDescent="0.25">
      <c r="A51" s="14">
        <v>50</v>
      </c>
      <c r="B51" s="14" t="s">
        <v>112</v>
      </c>
      <c r="C51" s="15" t="s">
        <v>75</v>
      </c>
      <c r="D51" s="9">
        <f>Параметры!$C$4*Параметры!$C$7*(1+Параметры!$C$8)^INT((A51-Параметры!$C$11-1)/12)</f>
        <v>3688436.7360000005</v>
      </c>
      <c r="E51" s="9">
        <f>D51/(1+Параметры!$C$13)</f>
        <v>3023308.8000000003</v>
      </c>
      <c r="F51" s="9">
        <f t="shared" si="10"/>
        <v>665127.93600000022</v>
      </c>
      <c r="G51" s="9">
        <f>IF(AND(A51&gt;Параметры!$C$11,A51&lt;=Параметры!$C$11+3),Параметры!$C$28,0)</f>
        <v>0</v>
      </c>
      <c r="H51" s="9">
        <f t="shared" si="11"/>
        <v>665127.93600000022</v>
      </c>
      <c r="I51" s="9">
        <f>E51*Параметры!$C$16</f>
        <v>453496.32000000001</v>
      </c>
      <c r="J51" s="9">
        <f>Параметры!$C$27</f>
        <v>170765.02732240438</v>
      </c>
      <c r="K51" s="9">
        <f>MAX(0,Параметры!$C$20-Параметры!$C$27*MAX(0,A51-Параметры!$C$11-1))*Параметры!$C$15/12</f>
        <v>138689.6630236794</v>
      </c>
      <c r="L51" s="9">
        <f t="shared" si="12"/>
        <v>2260357.7896539164</v>
      </c>
      <c r="M51" s="9">
        <f>T50*Параметры!$C$10/12</f>
        <v>1022705.6612591936</v>
      </c>
      <c r="N51" s="9">
        <f t="shared" si="13"/>
        <v>1237652.1283947229</v>
      </c>
      <c r="O51" s="9">
        <f>MAX(0,N51*Параметры!$C$14)</f>
        <v>247530.42567894459</v>
      </c>
      <c r="P51" s="9">
        <f t="shared" si="14"/>
        <v>990121.70271577837</v>
      </c>
      <c r="Q51" s="9">
        <v>0</v>
      </c>
      <c r="R51" s="9">
        <v>0</v>
      </c>
      <c r="S51" s="9">
        <f>MAX(0,MIN(Параметры!$C$26-M51,T50))</f>
        <v>132516.83384589234</v>
      </c>
      <c r="T51" s="9">
        <f t="shared" si="15"/>
        <v>61229822.841705725</v>
      </c>
      <c r="U51" s="9">
        <f t="shared" si="16"/>
        <v>363241.96019229025</v>
      </c>
      <c r="V51" s="9">
        <f t="shared" si="9"/>
        <v>-17186349.44404839</v>
      </c>
    </row>
    <row r="52" spans="1:22" x14ac:dyDescent="0.25">
      <c r="A52" s="11">
        <v>51</v>
      </c>
      <c r="B52" s="11" t="s">
        <v>113</v>
      </c>
      <c r="C52" s="12" t="s">
        <v>75</v>
      </c>
      <c r="D52" s="13">
        <f>Параметры!$C$4*Параметры!$C$7*(1+Параметры!$C$8)^INT((A52-Параметры!$C$11-1)/12)</f>
        <v>3688436.7360000005</v>
      </c>
      <c r="E52" s="13">
        <f>D52/(1+Параметры!$C$13)</f>
        <v>3023308.8000000003</v>
      </c>
      <c r="F52" s="13">
        <f t="shared" si="10"/>
        <v>665127.93600000022</v>
      </c>
      <c r="G52" s="13">
        <f>IF(AND(A52&gt;Параметры!$C$11,A52&lt;=Параметры!$C$11+3),Параметры!$C$28,0)</f>
        <v>0</v>
      </c>
      <c r="H52" s="13">
        <f t="shared" si="11"/>
        <v>665127.93600000022</v>
      </c>
      <c r="I52" s="13">
        <f>E52*Параметры!$C$16</f>
        <v>453496.32000000001</v>
      </c>
      <c r="J52" s="13">
        <f>Параметры!$C$27</f>
        <v>170765.02732240438</v>
      </c>
      <c r="K52" s="13">
        <f>MAX(0,Параметры!$C$20-Параметры!$C$27*MAX(0,A52-Параметры!$C$11-1))*Параметры!$C$15/12</f>
        <v>138376.59380692165</v>
      </c>
      <c r="L52" s="13">
        <f t="shared" si="12"/>
        <v>2260670.8588706744</v>
      </c>
      <c r="M52" s="13">
        <f>T51*Параметры!$C$10/12</f>
        <v>1020497.0473617621</v>
      </c>
      <c r="N52" s="13">
        <f t="shared" si="13"/>
        <v>1240173.8115089121</v>
      </c>
      <c r="O52" s="13">
        <f>MAX(0,N52*Параметры!$C$14)</f>
        <v>248034.76230178244</v>
      </c>
      <c r="P52" s="13">
        <f t="shared" si="14"/>
        <v>992139.04920712975</v>
      </c>
      <c r="Q52" s="13">
        <v>0</v>
      </c>
      <c r="R52" s="13">
        <v>0</v>
      </c>
      <c r="S52" s="13">
        <f>MAX(0,MIN(Параметры!$C$26-M52,T51))</f>
        <v>134725.44774332375</v>
      </c>
      <c r="T52" s="13">
        <f t="shared" si="15"/>
        <v>61095097.393962398</v>
      </c>
      <c r="U52" s="13">
        <f t="shared" si="16"/>
        <v>363050.6927862101</v>
      </c>
      <c r="V52" s="13">
        <f t="shared" si="9"/>
        <v>-16823298.751262181</v>
      </c>
    </row>
    <row r="53" spans="1:22" x14ac:dyDescent="0.25">
      <c r="A53" s="14">
        <v>52</v>
      </c>
      <c r="B53" s="14" t="s">
        <v>114</v>
      </c>
      <c r="C53" s="15" t="s">
        <v>75</v>
      </c>
      <c r="D53" s="9">
        <f>Параметры!$C$4*Параметры!$C$7*(1+Параметры!$C$8)^INT((A53-Параметры!$C$11-1)/12)</f>
        <v>3688436.7360000005</v>
      </c>
      <c r="E53" s="9">
        <f>D53/(1+Параметры!$C$13)</f>
        <v>3023308.8000000003</v>
      </c>
      <c r="F53" s="9">
        <f t="shared" si="10"/>
        <v>665127.93600000022</v>
      </c>
      <c r="G53" s="9">
        <f>IF(AND(A53&gt;Параметры!$C$11,A53&lt;=Параметры!$C$11+3),Параметры!$C$28,0)</f>
        <v>0</v>
      </c>
      <c r="H53" s="9">
        <f t="shared" si="11"/>
        <v>665127.93600000022</v>
      </c>
      <c r="I53" s="9">
        <f>E53*Параметры!$C$16</f>
        <v>453496.32000000001</v>
      </c>
      <c r="J53" s="9">
        <f>Параметры!$C$27</f>
        <v>170765.02732240438</v>
      </c>
      <c r="K53" s="9">
        <f>MAX(0,Параметры!$C$20-Параметры!$C$27*MAX(0,A53-Параметры!$C$11-1))*Параметры!$C$15/12</f>
        <v>138063.52459016393</v>
      </c>
      <c r="L53" s="9">
        <f t="shared" si="12"/>
        <v>2260983.9280874319</v>
      </c>
      <c r="M53" s="9">
        <f>T52*Параметры!$C$10/12</f>
        <v>1018251.6232327068</v>
      </c>
      <c r="N53" s="9">
        <f t="shared" si="13"/>
        <v>1242732.304854725</v>
      </c>
      <c r="O53" s="9">
        <f>MAX(0,N53*Параметры!$C$14)</f>
        <v>248546.46097094502</v>
      </c>
      <c r="P53" s="9">
        <f t="shared" si="14"/>
        <v>994185.84388378006</v>
      </c>
      <c r="Q53" s="9">
        <v>0</v>
      </c>
      <c r="R53" s="9">
        <v>0</v>
      </c>
      <c r="S53" s="9">
        <f>MAX(0,MIN(Параметры!$C$26-M53,T52))</f>
        <v>136970.8718723791</v>
      </c>
      <c r="T53" s="9">
        <f t="shared" si="15"/>
        <v>60958126.522090018</v>
      </c>
      <c r="U53" s="9">
        <f t="shared" si="16"/>
        <v>362852.06333380507</v>
      </c>
      <c r="V53" s="9">
        <f t="shared" si="9"/>
        <v>-16460446.687928375</v>
      </c>
    </row>
    <row r="54" spans="1:22" x14ac:dyDescent="0.25">
      <c r="A54" s="11">
        <v>53</v>
      </c>
      <c r="B54" s="11" t="s">
        <v>115</v>
      </c>
      <c r="C54" s="12" t="s">
        <v>75</v>
      </c>
      <c r="D54" s="13">
        <f>Параметры!$C$4*Параметры!$C$7*(1+Параметры!$C$8)^INT((A54-Параметры!$C$11-1)/12)</f>
        <v>3688436.7360000005</v>
      </c>
      <c r="E54" s="13">
        <f>D54/(1+Параметры!$C$13)</f>
        <v>3023308.8000000003</v>
      </c>
      <c r="F54" s="13">
        <f t="shared" si="10"/>
        <v>665127.93600000022</v>
      </c>
      <c r="G54" s="13">
        <f>IF(AND(A54&gt;Параметры!$C$11,A54&lt;=Параметры!$C$11+3),Параметры!$C$28,0)</f>
        <v>0</v>
      </c>
      <c r="H54" s="13">
        <f t="shared" si="11"/>
        <v>665127.93600000022</v>
      </c>
      <c r="I54" s="13">
        <f>E54*Параметры!$C$16</f>
        <v>453496.32000000001</v>
      </c>
      <c r="J54" s="13">
        <f>Параметры!$C$27</f>
        <v>170765.02732240438</v>
      </c>
      <c r="K54" s="13">
        <f>MAX(0,Параметры!$C$20-Параметры!$C$27*MAX(0,A54-Параметры!$C$11-1))*Параметры!$C$15/12</f>
        <v>137750.45537340618</v>
      </c>
      <c r="L54" s="13">
        <f t="shared" si="12"/>
        <v>2261296.99730419</v>
      </c>
      <c r="M54" s="13">
        <f>T53*Параметры!$C$10/12</f>
        <v>1015968.7753681671</v>
      </c>
      <c r="N54" s="13">
        <f t="shared" si="13"/>
        <v>1245328.2219360229</v>
      </c>
      <c r="O54" s="13">
        <f>MAX(0,N54*Параметры!$C$14)</f>
        <v>249065.64438720458</v>
      </c>
      <c r="P54" s="13">
        <f t="shared" si="14"/>
        <v>996262.57754881831</v>
      </c>
      <c r="Q54" s="13">
        <v>0</v>
      </c>
      <c r="R54" s="13">
        <v>0</v>
      </c>
      <c r="S54" s="13">
        <f>MAX(0,MIN(Параметры!$C$26-M54,T53))</f>
        <v>139253.71973691881</v>
      </c>
      <c r="T54" s="13">
        <f t="shared" si="15"/>
        <v>60818872.802353099</v>
      </c>
      <c r="U54" s="13">
        <f t="shared" si="16"/>
        <v>362645.94913430372</v>
      </c>
      <c r="V54" s="13">
        <f t="shared" si="9"/>
        <v>-16097800.738794072</v>
      </c>
    </row>
    <row r="55" spans="1:22" x14ac:dyDescent="0.25">
      <c r="A55" s="14">
        <v>54</v>
      </c>
      <c r="B55" s="14" t="s">
        <v>116</v>
      </c>
      <c r="C55" s="15" t="s">
        <v>75</v>
      </c>
      <c r="D55" s="9">
        <f>Параметры!$C$4*Параметры!$C$7*(1+Параметры!$C$8)^INT((A55-Параметры!$C$11-1)/12)</f>
        <v>3688436.7360000005</v>
      </c>
      <c r="E55" s="9">
        <f>D55/(1+Параметры!$C$13)</f>
        <v>3023308.8000000003</v>
      </c>
      <c r="F55" s="9">
        <f t="shared" si="10"/>
        <v>665127.93600000022</v>
      </c>
      <c r="G55" s="9">
        <f>IF(AND(A55&gt;Параметры!$C$11,A55&lt;=Параметры!$C$11+3),Параметры!$C$28,0)</f>
        <v>0</v>
      </c>
      <c r="H55" s="9">
        <f t="shared" si="11"/>
        <v>665127.93600000022</v>
      </c>
      <c r="I55" s="9">
        <f>E55*Параметры!$C$16</f>
        <v>453496.32000000001</v>
      </c>
      <c r="J55" s="9">
        <f>Параметры!$C$27</f>
        <v>170765.02732240438</v>
      </c>
      <c r="K55" s="9">
        <f>MAX(0,Параметры!$C$20-Параметры!$C$27*MAX(0,A55-Параметры!$C$11-1))*Параметры!$C$15/12</f>
        <v>137437.38615664846</v>
      </c>
      <c r="L55" s="9">
        <f t="shared" si="12"/>
        <v>2261610.0665209475</v>
      </c>
      <c r="M55" s="9">
        <f>T54*Параметры!$C$10/12</f>
        <v>1013647.8800392183</v>
      </c>
      <c r="N55" s="9">
        <f t="shared" si="13"/>
        <v>1247962.1864817291</v>
      </c>
      <c r="O55" s="9">
        <f>MAX(0,N55*Параметры!$C$14)</f>
        <v>249592.43729634583</v>
      </c>
      <c r="P55" s="9">
        <f t="shared" si="14"/>
        <v>998369.74918538332</v>
      </c>
      <c r="Q55" s="9">
        <v>0</v>
      </c>
      <c r="R55" s="9">
        <v>0</v>
      </c>
      <c r="S55" s="9">
        <f>MAX(0,MIN(Параметры!$C$26-M55,T54))</f>
        <v>141574.61506586755</v>
      </c>
      <c r="T55" s="9">
        <f t="shared" si="15"/>
        <v>60677298.187287234</v>
      </c>
      <c r="U55" s="9">
        <f t="shared" si="16"/>
        <v>362432.22544191987</v>
      </c>
      <c r="V55" s="9">
        <f t="shared" si="9"/>
        <v>-15735368.513352152</v>
      </c>
    </row>
    <row r="56" spans="1:22" x14ac:dyDescent="0.25">
      <c r="A56" s="11">
        <v>55</v>
      </c>
      <c r="B56" s="11" t="s">
        <v>117</v>
      </c>
      <c r="C56" s="12" t="s">
        <v>75</v>
      </c>
      <c r="D56" s="13">
        <f>Параметры!$C$4*Параметры!$C$7*(1+Параметры!$C$8)^INT((A56-Параметры!$C$11-1)/12)</f>
        <v>3688436.7360000005</v>
      </c>
      <c r="E56" s="13">
        <f>D56/(1+Параметры!$C$13)</f>
        <v>3023308.8000000003</v>
      </c>
      <c r="F56" s="13">
        <f t="shared" si="10"/>
        <v>665127.93600000022</v>
      </c>
      <c r="G56" s="13">
        <f>IF(AND(A56&gt;Параметры!$C$11,A56&lt;=Параметры!$C$11+3),Параметры!$C$28,0)</f>
        <v>0</v>
      </c>
      <c r="H56" s="13">
        <f t="shared" si="11"/>
        <v>665127.93600000022</v>
      </c>
      <c r="I56" s="13">
        <f>E56*Параметры!$C$16</f>
        <v>453496.32000000001</v>
      </c>
      <c r="J56" s="13">
        <f>Параметры!$C$27</f>
        <v>170765.02732240438</v>
      </c>
      <c r="K56" s="13">
        <f>MAX(0,Параметры!$C$20-Параметры!$C$27*MAX(0,A56-Параметры!$C$11-1))*Параметры!$C$15/12</f>
        <v>137124.3169398907</v>
      </c>
      <c r="L56" s="13">
        <f t="shared" si="12"/>
        <v>2261923.135737705</v>
      </c>
      <c r="M56" s="13">
        <f>T55*Параметры!$C$10/12</f>
        <v>1011288.303121454</v>
      </c>
      <c r="N56" s="13">
        <f t="shared" si="13"/>
        <v>1250634.832616251</v>
      </c>
      <c r="O56" s="13">
        <f>MAX(0,N56*Параметры!$C$14)</f>
        <v>250126.96652325022</v>
      </c>
      <c r="P56" s="13">
        <f t="shared" si="14"/>
        <v>1000507.8660930007</v>
      </c>
      <c r="Q56" s="13">
        <v>0</v>
      </c>
      <c r="R56" s="13">
        <v>0</v>
      </c>
      <c r="S56" s="13">
        <f>MAX(0,MIN(Параметры!$C$26-M56,T55))</f>
        <v>143934.19198363193</v>
      </c>
      <c r="T56" s="13">
        <f t="shared" si="15"/>
        <v>60533363.995303601</v>
      </c>
      <c r="U56" s="13">
        <f t="shared" si="16"/>
        <v>362210.76543177303</v>
      </c>
      <c r="V56" s="13">
        <f t="shared" si="9"/>
        <v>-15373157.747920379</v>
      </c>
    </row>
    <row r="57" spans="1:22" x14ac:dyDescent="0.25">
      <c r="A57" s="14">
        <v>56</v>
      </c>
      <c r="B57" s="14" t="s">
        <v>118</v>
      </c>
      <c r="C57" s="15" t="s">
        <v>75</v>
      </c>
      <c r="D57" s="9">
        <f>Параметры!$C$4*Параметры!$C$7*(1+Параметры!$C$8)^INT((A57-Параметры!$C$11-1)/12)</f>
        <v>3688436.7360000005</v>
      </c>
      <c r="E57" s="9">
        <f>D57/(1+Параметры!$C$13)</f>
        <v>3023308.8000000003</v>
      </c>
      <c r="F57" s="9">
        <f t="shared" si="10"/>
        <v>665127.93600000022</v>
      </c>
      <c r="G57" s="9">
        <f>IF(AND(A57&gt;Параметры!$C$11,A57&lt;=Параметры!$C$11+3),Параметры!$C$28,0)</f>
        <v>0</v>
      </c>
      <c r="H57" s="9">
        <f t="shared" si="11"/>
        <v>665127.93600000022</v>
      </c>
      <c r="I57" s="9">
        <f>E57*Параметры!$C$16</f>
        <v>453496.32000000001</v>
      </c>
      <c r="J57" s="9">
        <f>Параметры!$C$27</f>
        <v>170765.02732240438</v>
      </c>
      <c r="K57" s="9">
        <f>MAX(0,Параметры!$C$20-Параметры!$C$27*MAX(0,A57-Параметры!$C$11-1))*Параметры!$C$15/12</f>
        <v>136811.24772313298</v>
      </c>
      <c r="L57" s="9">
        <f t="shared" si="12"/>
        <v>2262236.2049544631</v>
      </c>
      <c r="M57" s="9">
        <f>T56*Параметры!$C$10/12</f>
        <v>1008889.3999217268</v>
      </c>
      <c r="N57" s="9">
        <f t="shared" si="13"/>
        <v>1253346.8050327362</v>
      </c>
      <c r="O57" s="9">
        <f>MAX(0,N57*Параметры!$C$14)</f>
        <v>250669.36100654723</v>
      </c>
      <c r="P57" s="9">
        <f t="shared" si="14"/>
        <v>1002677.4440261889</v>
      </c>
      <c r="Q57" s="9">
        <v>0</v>
      </c>
      <c r="R57" s="9">
        <v>0</v>
      </c>
      <c r="S57" s="9">
        <f>MAX(0,MIN(Параметры!$C$26-M57,T56))</f>
        <v>146333.09518335911</v>
      </c>
      <c r="T57" s="9">
        <f t="shared" si="15"/>
        <v>60387030.900120243</v>
      </c>
      <c r="U57" s="9">
        <f t="shared" si="16"/>
        <v>361981.44016523391</v>
      </c>
      <c r="V57" s="9">
        <f t="shared" si="9"/>
        <v>-15011176.307755144</v>
      </c>
    </row>
    <row r="58" spans="1:22" x14ac:dyDescent="0.25">
      <c r="A58" s="11">
        <v>57</v>
      </c>
      <c r="B58" s="11" t="s">
        <v>119</v>
      </c>
      <c r="C58" s="12" t="s">
        <v>75</v>
      </c>
      <c r="D58" s="13">
        <f>Параметры!$C$4*Параметры!$C$7*(1+Параметры!$C$8)^INT((A58-Параметры!$C$11-1)/12)</f>
        <v>3688436.7360000005</v>
      </c>
      <c r="E58" s="13">
        <f>D58/(1+Параметры!$C$13)</f>
        <v>3023308.8000000003</v>
      </c>
      <c r="F58" s="13">
        <f t="shared" si="10"/>
        <v>665127.93600000022</v>
      </c>
      <c r="G58" s="13">
        <f>IF(AND(A58&gt;Параметры!$C$11,A58&lt;=Параметры!$C$11+3),Параметры!$C$28,0)</f>
        <v>0</v>
      </c>
      <c r="H58" s="13">
        <f t="shared" si="11"/>
        <v>665127.93600000022</v>
      </c>
      <c r="I58" s="13">
        <f>E58*Параметры!$C$16</f>
        <v>453496.32000000001</v>
      </c>
      <c r="J58" s="13">
        <f>Параметры!$C$27</f>
        <v>170765.02732240438</v>
      </c>
      <c r="K58" s="13">
        <f>MAX(0,Параметры!$C$20-Параметры!$C$27*MAX(0,A58-Параметры!$C$11-1))*Параметры!$C$15/12</f>
        <v>136498.1785063752</v>
      </c>
      <c r="L58" s="13">
        <f t="shared" si="12"/>
        <v>2262549.2741712206</v>
      </c>
      <c r="M58" s="13">
        <f>T57*Параметры!$C$10/12</f>
        <v>1006450.5150020042</v>
      </c>
      <c r="N58" s="13">
        <f t="shared" si="13"/>
        <v>1256098.7591692163</v>
      </c>
      <c r="O58" s="13">
        <f>MAX(0,N58*Параметры!$C$14)</f>
        <v>251219.75183384327</v>
      </c>
      <c r="P58" s="13">
        <f t="shared" si="14"/>
        <v>1004879.007335373</v>
      </c>
      <c r="Q58" s="13">
        <v>0</v>
      </c>
      <c r="R58" s="13">
        <v>0</v>
      </c>
      <c r="S58" s="13">
        <f>MAX(0,MIN(Параметры!$C$26-M58,T57))</f>
        <v>148771.98010308167</v>
      </c>
      <c r="T58" s="13">
        <f t="shared" si="15"/>
        <v>60238258.92001716</v>
      </c>
      <c r="U58" s="13">
        <f t="shared" si="16"/>
        <v>361744.11855469539</v>
      </c>
      <c r="V58" s="13">
        <f t="shared" si="9"/>
        <v>-14649432.18920045</v>
      </c>
    </row>
    <row r="59" spans="1:22" x14ac:dyDescent="0.25">
      <c r="A59" s="14">
        <v>58</v>
      </c>
      <c r="B59" s="14" t="s">
        <v>120</v>
      </c>
      <c r="C59" s="15" t="s">
        <v>75</v>
      </c>
      <c r="D59" s="9">
        <f>Параметры!$C$4*Параметры!$C$7*(1+Параметры!$C$8)^INT((A59-Параметры!$C$11-1)/12)</f>
        <v>3688436.7360000005</v>
      </c>
      <c r="E59" s="9">
        <f>D59/(1+Параметры!$C$13)</f>
        <v>3023308.8000000003</v>
      </c>
      <c r="F59" s="9">
        <f t="shared" si="10"/>
        <v>665127.93600000022</v>
      </c>
      <c r="G59" s="9">
        <f>IF(AND(A59&gt;Параметры!$C$11,A59&lt;=Параметры!$C$11+3),Параметры!$C$28,0)</f>
        <v>0</v>
      </c>
      <c r="H59" s="9">
        <f t="shared" si="11"/>
        <v>665127.93600000022</v>
      </c>
      <c r="I59" s="9">
        <f>E59*Параметры!$C$16</f>
        <v>453496.32000000001</v>
      </c>
      <c r="J59" s="9">
        <f>Параметры!$C$27</f>
        <v>170765.02732240438</v>
      </c>
      <c r="K59" s="9">
        <f>MAX(0,Параметры!$C$20-Параметры!$C$27*MAX(0,A59-Параметры!$C$11-1))*Параметры!$C$15/12</f>
        <v>136185.10928961748</v>
      </c>
      <c r="L59" s="9">
        <f t="shared" si="12"/>
        <v>2262862.3433879786</v>
      </c>
      <c r="M59" s="9">
        <f>T58*Параметры!$C$10/12</f>
        <v>1003970.9820002861</v>
      </c>
      <c r="N59" s="9">
        <f t="shared" si="13"/>
        <v>1258891.3613876924</v>
      </c>
      <c r="O59" s="9">
        <f>MAX(0,N59*Параметры!$C$14)</f>
        <v>251778.27227753849</v>
      </c>
      <c r="P59" s="9">
        <f t="shared" si="14"/>
        <v>1007113.089110154</v>
      </c>
      <c r="Q59" s="9">
        <v>0</v>
      </c>
      <c r="R59" s="9">
        <v>0</v>
      </c>
      <c r="S59" s="9">
        <f>MAX(0,MIN(Параметры!$C$26-M59,T58))</f>
        <v>151251.51310479979</v>
      </c>
      <c r="T59" s="9">
        <f t="shared" si="15"/>
        <v>60087007.406912364</v>
      </c>
      <c r="U59" s="9">
        <f t="shared" si="16"/>
        <v>361498.66732775827</v>
      </c>
      <c r="V59" s="9">
        <f t="shared" si="9"/>
        <v>-14287933.521872692</v>
      </c>
    </row>
    <row r="60" spans="1:22" x14ac:dyDescent="0.25">
      <c r="A60" s="11">
        <v>59</v>
      </c>
      <c r="B60" s="11" t="s">
        <v>121</v>
      </c>
      <c r="C60" s="12" t="s">
        <v>75</v>
      </c>
      <c r="D60" s="13">
        <f>Параметры!$C$4*Параметры!$C$7*(1+Параметры!$C$8)^INT((A60-Параметры!$C$11-1)/12)</f>
        <v>3688436.7360000005</v>
      </c>
      <c r="E60" s="13">
        <f>D60/(1+Параметры!$C$13)</f>
        <v>3023308.8000000003</v>
      </c>
      <c r="F60" s="13">
        <f t="shared" si="10"/>
        <v>665127.93600000022</v>
      </c>
      <c r="G60" s="13">
        <f>IF(AND(A60&gt;Параметры!$C$11,A60&lt;=Параметры!$C$11+3),Параметры!$C$28,0)</f>
        <v>0</v>
      </c>
      <c r="H60" s="13">
        <f t="shared" si="11"/>
        <v>665127.93600000022</v>
      </c>
      <c r="I60" s="13">
        <f>E60*Параметры!$C$16</f>
        <v>453496.32000000001</v>
      </c>
      <c r="J60" s="13">
        <f>Параметры!$C$27</f>
        <v>170765.02732240438</v>
      </c>
      <c r="K60" s="13">
        <f>MAX(0,Параметры!$C$20-Параметры!$C$27*MAX(0,A60-Параметры!$C$11-1))*Параметры!$C$15/12</f>
        <v>135872.04007285973</v>
      </c>
      <c r="L60" s="13">
        <f t="shared" si="12"/>
        <v>2263175.4126047362</v>
      </c>
      <c r="M60" s="13">
        <f>T59*Параметры!$C$10/12</f>
        <v>1001450.1234485395</v>
      </c>
      <c r="N60" s="13">
        <f t="shared" si="13"/>
        <v>1261725.2891561966</v>
      </c>
      <c r="O60" s="13">
        <f>MAX(0,N60*Параметры!$C$14)</f>
        <v>252345.05783123933</v>
      </c>
      <c r="P60" s="13">
        <f t="shared" si="14"/>
        <v>1009380.2313249573</v>
      </c>
      <c r="Q60" s="13">
        <v>0</v>
      </c>
      <c r="R60" s="13">
        <v>0</v>
      </c>
      <c r="S60" s="13">
        <f>MAX(0,MIN(Параметры!$C$26-M60,T59))</f>
        <v>153772.37165654637</v>
      </c>
      <c r="T60" s="13">
        <f t="shared" si="15"/>
        <v>59933235.03525582</v>
      </c>
      <c r="U60" s="13">
        <f t="shared" si="16"/>
        <v>361244.95099081518</v>
      </c>
      <c r="V60" s="13">
        <f t="shared" si="9"/>
        <v>-13926688.570881877</v>
      </c>
    </row>
    <row r="61" spans="1:22" x14ac:dyDescent="0.25">
      <c r="A61" s="14">
        <v>60</v>
      </c>
      <c r="B61" s="14" t="s">
        <v>122</v>
      </c>
      <c r="C61" s="15" t="s">
        <v>75</v>
      </c>
      <c r="D61" s="9">
        <f>Параметры!$C$4*Параметры!$C$7*(1+Параметры!$C$8)^INT((A61-Параметры!$C$11-1)/12)</f>
        <v>3688436.7360000005</v>
      </c>
      <c r="E61" s="9">
        <f>D61/(1+Параметры!$C$13)</f>
        <v>3023308.8000000003</v>
      </c>
      <c r="F61" s="9">
        <f t="shared" si="10"/>
        <v>665127.93600000022</v>
      </c>
      <c r="G61" s="9">
        <f>IF(AND(A61&gt;Параметры!$C$11,A61&lt;=Параметры!$C$11+3),Параметры!$C$28,0)</f>
        <v>0</v>
      </c>
      <c r="H61" s="9">
        <f t="shared" si="11"/>
        <v>665127.93600000022</v>
      </c>
      <c r="I61" s="9">
        <f>E61*Параметры!$C$16</f>
        <v>453496.32000000001</v>
      </c>
      <c r="J61" s="9">
        <f>Параметры!$C$27</f>
        <v>170765.02732240438</v>
      </c>
      <c r="K61" s="9">
        <f>MAX(0,Параметры!$C$20-Параметры!$C$27*MAX(0,A61-Параметры!$C$11-1))*Параметры!$C$15/12</f>
        <v>135558.97085610201</v>
      </c>
      <c r="L61" s="9">
        <f t="shared" si="12"/>
        <v>2263488.4818214937</v>
      </c>
      <c r="M61" s="9">
        <f>T60*Параметры!$C$10/12</f>
        <v>998887.25058759702</v>
      </c>
      <c r="N61" s="9">
        <f t="shared" si="13"/>
        <v>1264601.2312338967</v>
      </c>
      <c r="O61" s="9">
        <f>MAX(0,N61*Параметры!$C$14)</f>
        <v>252920.24624677934</v>
      </c>
      <c r="P61" s="9">
        <f t="shared" si="14"/>
        <v>1011680.9849871174</v>
      </c>
      <c r="Q61" s="9">
        <v>0</v>
      </c>
      <c r="R61" s="9">
        <v>0</v>
      </c>
      <c r="S61" s="9">
        <f>MAX(0,MIN(Параметры!$C$26-M61,T60))</f>
        <v>156335.24451748887</v>
      </c>
      <c r="T61" s="9">
        <f t="shared" si="15"/>
        <v>59776899.790738329</v>
      </c>
      <c r="U61" s="9">
        <f t="shared" si="16"/>
        <v>360982.83179203258</v>
      </c>
      <c r="V61" s="9">
        <f t="shared" si="9"/>
        <v>-13565705.739089845</v>
      </c>
    </row>
    <row r="62" spans="1:22" x14ac:dyDescent="0.25">
      <c r="A62" s="11">
        <v>61</v>
      </c>
      <c r="B62" s="11" t="s">
        <v>123</v>
      </c>
      <c r="C62" s="12" t="s">
        <v>75</v>
      </c>
      <c r="D62" s="13">
        <f>Параметры!$C$4*Параметры!$C$7*(1+Параметры!$C$8)^INT((A62-Параметры!$C$11-1)/12)</f>
        <v>3983511.6748800008</v>
      </c>
      <c r="E62" s="13">
        <f>D62/(1+Параметры!$C$13)</f>
        <v>3265173.5040000007</v>
      </c>
      <c r="F62" s="13">
        <f t="shared" si="10"/>
        <v>718338.17088000011</v>
      </c>
      <c r="G62" s="13">
        <f>IF(AND(A62&gt;Параметры!$C$11,A62&lt;=Параметры!$C$11+3),Параметры!$C$28,0)</f>
        <v>0</v>
      </c>
      <c r="H62" s="13">
        <f t="shared" si="11"/>
        <v>718338.17088000011</v>
      </c>
      <c r="I62" s="13">
        <f>E62*Параметры!$C$16</f>
        <v>489776.02560000005</v>
      </c>
      <c r="J62" s="13">
        <f>Параметры!$C$27</f>
        <v>170765.02732240438</v>
      </c>
      <c r="K62" s="13">
        <f>MAX(0,Параметры!$C$20-Параметры!$C$27*MAX(0,A62-Параметры!$C$11-1))*Параметры!$C$15/12</f>
        <v>135245.90163934426</v>
      </c>
      <c r="L62" s="13">
        <f t="shared" si="12"/>
        <v>2469386.5494382516</v>
      </c>
      <c r="M62" s="13">
        <f>T61*Параметры!$C$10/12</f>
        <v>996281.66317897232</v>
      </c>
      <c r="N62" s="13">
        <f t="shared" si="13"/>
        <v>1473104.8862592792</v>
      </c>
      <c r="O62" s="13">
        <f>MAX(0,N62*Параметры!$C$14)</f>
        <v>294620.97725185583</v>
      </c>
      <c r="P62" s="13">
        <f t="shared" si="14"/>
        <v>1178483.9090074233</v>
      </c>
      <c r="Q62" s="13">
        <v>0</v>
      </c>
      <c r="R62" s="13">
        <v>0</v>
      </c>
      <c r="S62" s="13">
        <f>MAX(0,MIN(Параметры!$C$26-M62,T61))</f>
        <v>158940.83192611358</v>
      </c>
      <c r="T62" s="13">
        <f t="shared" si="15"/>
        <v>59617958.958812214</v>
      </c>
      <c r="U62" s="13">
        <f t="shared" si="16"/>
        <v>471969.93352371408</v>
      </c>
      <c r="V62" s="13">
        <f t="shared" si="9"/>
        <v>-13093735.80556613</v>
      </c>
    </row>
    <row r="63" spans="1:22" x14ac:dyDescent="0.25">
      <c r="A63" s="14">
        <v>62</v>
      </c>
      <c r="B63" s="14" t="s">
        <v>124</v>
      </c>
      <c r="C63" s="15" t="s">
        <v>75</v>
      </c>
      <c r="D63" s="9">
        <f>Параметры!$C$4*Параметры!$C$7*(1+Параметры!$C$8)^INT((A63-Параметры!$C$11-1)/12)</f>
        <v>3983511.6748800008</v>
      </c>
      <c r="E63" s="9">
        <f>D63/(1+Параметры!$C$13)</f>
        <v>3265173.5040000007</v>
      </c>
      <c r="F63" s="9">
        <f t="shared" si="10"/>
        <v>718338.17088000011</v>
      </c>
      <c r="G63" s="9">
        <f>IF(AND(A63&gt;Параметры!$C$11,A63&lt;=Параметры!$C$11+3),Параметры!$C$28,0)</f>
        <v>0</v>
      </c>
      <c r="H63" s="9">
        <f t="shared" si="11"/>
        <v>718338.17088000011</v>
      </c>
      <c r="I63" s="9">
        <f>E63*Параметры!$C$16</f>
        <v>489776.02560000005</v>
      </c>
      <c r="J63" s="9">
        <f>Параметры!$C$27</f>
        <v>170765.02732240438</v>
      </c>
      <c r="K63" s="9">
        <f>MAX(0,Параметры!$C$20-Параметры!$C$27*MAX(0,A63-Параметры!$C$11-1))*Параметры!$C$15/12</f>
        <v>134932.83242258654</v>
      </c>
      <c r="L63" s="9">
        <f t="shared" si="12"/>
        <v>2469699.6186550092</v>
      </c>
      <c r="M63" s="9">
        <f>T62*Параметры!$C$10/12</f>
        <v>993632.64931353694</v>
      </c>
      <c r="N63" s="9">
        <f t="shared" si="13"/>
        <v>1476066.9693414723</v>
      </c>
      <c r="O63" s="9">
        <f>MAX(0,N63*Параметры!$C$14)</f>
        <v>295213.39386829449</v>
      </c>
      <c r="P63" s="9">
        <f t="shared" si="14"/>
        <v>1180853.5754731777</v>
      </c>
      <c r="Q63" s="9">
        <v>0</v>
      </c>
      <c r="R63" s="9">
        <v>0</v>
      </c>
      <c r="S63" s="9">
        <f>MAX(0,MIN(Параметры!$C$26-M63,T62))</f>
        <v>161589.84579154896</v>
      </c>
      <c r="T63" s="9">
        <f t="shared" si="15"/>
        <v>59456369.113020666</v>
      </c>
      <c r="U63" s="9">
        <f t="shared" si="16"/>
        <v>471690.58612403297</v>
      </c>
      <c r="V63" s="9">
        <f t="shared" si="9"/>
        <v>-12622045.219442097</v>
      </c>
    </row>
    <row r="64" spans="1:22" x14ac:dyDescent="0.25">
      <c r="A64" s="11">
        <v>63</v>
      </c>
      <c r="B64" s="11" t="s">
        <v>125</v>
      </c>
      <c r="C64" s="12" t="s">
        <v>75</v>
      </c>
      <c r="D64" s="13">
        <f>Параметры!$C$4*Параметры!$C$7*(1+Параметры!$C$8)^INT((A64-Параметры!$C$11-1)/12)</f>
        <v>3983511.6748800008</v>
      </c>
      <c r="E64" s="13">
        <f>D64/(1+Параметры!$C$13)</f>
        <v>3265173.5040000007</v>
      </c>
      <c r="F64" s="13">
        <f t="shared" si="10"/>
        <v>718338.17088000011</v>
      </c>
      <c r="G64" s="13">
        <f>IF(AND(A64&gt;Параметры!$C$11,A64&lt;=Параметры!$C$11+3),Параметры!$C$28,0)</f>
        <v>0</v>
      </c>
      <c r="H64" s="13">
        <f t="shared" si="11"/>
        <v>718338.17088000011</v>
      </c>
      <c r="I64" s="13">
        <f>E64*Параметры!$C$16</f>
        <v>489776.02560000005</v>
      </c>
      <c r="J64" s="13">
        <f>Параметры!$C$27</f>
        <v>170765.02732240438</v>
      </c>
      <c r="K64" s="13">
        <f>MAX(0,Параметры!$C$20-Параметры!$C$27*MAX(0,A64-Параметры!$C$11-1))*Параметры!$C$15/12</f>
        <v>134619.76320582876</v>
      </c>
      <c r="L64" s="13">
        <f t="shared" si="12"/>
        <v>2470012.6878717672</v>
      </c>
      <c r="M64" s="13">
        <f>T63*Параметры!$C$10/12</f>
        <v>990939.48521701118</v>
      </c>
      <c r="N64" s="13">
        <f t="shared" si="13"/>
        <v>1479073.2026547561</v>
      </c>
      <c r="O64" s="13">
        <f>MAX(0,N64*Параметры!$C$14)</f>
        <v>295814.64053095126</v>
      </c>
      <c r="P64" s="13">
        <f t="shared" si="14"/>
        <v>1183258.5621238048</v>
      </c>
      <c r="Q64" s="13">
        <v>0</v>
      </c>
      <c r="R64" s="13">
        <v>0</v>
      </c>
      <c r="S64" s="13">
        <f>MAX(0,MIN(Параметры!$C$26-M64,T63))</f>
        <v>164283.00988807471</v>
      </c>
      <c r="T64" s="13">
        <f t="shared" si="15"/>
        <v>59292086.103132591</v>
      </c>
      <c r="U64" s="13">
        <f t="shared" si="16"/>
        <v>471402.40867813444</v>
      </c>
      <c r="V64" s="13">
        <f t="shared" si="9"/>
        <v>-12150642.810763963</v>
      </c>
    </row>
    <row r="65" spans="1:22" x14ac:dyDescent="0.25">
      <c r="A65" s="14">
        <v>64</v>
      </c>
      <c r="B65" s="14" t="s">
        <v>126</v>
      </c>
      <c r="C65" s="15" t="s">
        <v>75</v>
      </c>
      <c r="D65" s="9">
        <f>Параметры!$C$4*Параметры!$C$7*(1+Параметры!$C$8)^INT((A65-Параметры!$C$11-1)/12)</f>
        <v>3983511.6748800008</v>
      </c>
      <c r="E65" s="9">
        <f>D65/(1+Параметры!$C$13)</f>
        <v>3265173.5040000007</v>
      </c>
      <c r="F65" s="9">
        <f t="shared" si="10"/>
        <v>718338.17088000011</v>
      </c>
      <c r="G65" s="9">
        <f>IF(AND(A65&gt;Параметры!$C$11,A65&lt;=Параметры!$C$11+3),Параметры!$C$28,0)</f>
        <v>0</v>
      </c>
      <c r="H65" s="9">
        <f t="shared" si="11"/>
        <v>718338.17088000011</v>
      </c>
      <c r="I65" s="9">
        <f>E65*Параметры!$C$16</f>
        <v>489776.02560000005</v>
      </c>
      <c r="J65" s="9">
        <f>Параметры!$C$27</f>
        <v>170765.02732240438</v>
      </c>
      <c r="K65" s="9">
        <f>MAX(0,Параметры!$C$20-Параметры!$C$27*MAX(0,A65-Параметры!$C$11-1))*Параметры!$C$15/12</f>
        <v>134306.69398907103</v>
      </c>
      <c r="L65" s="9">
        <f t="shared" si="12"/>
        <v>2470325.7570885248</v>
      </c>
      <c r="M65" s="9">
        <f>T64*Параметры!$C$10/12</f>
        <v>988201.43505220988</v>
      </c>
      <c r="N65" s="9">
        <f t="shared" si="13"/>
        <v>1482124.3220363148</v>
      </c>
      <c r="O65" s="9">
        <f>MAX(0,N65*Параметры!$C$14)</f>
        <v>296424.86440726294</v>
      </c>
      <c r="P65" s="9">
        <f t="shared" si="14"/>
        <v>1185699.4576290518</v>
      </c>
      <c r="Q65" s="9">
        <v>0</v>
      </c>
      <c r="R65" s="9">
        <v>0</v>
      </c>
      <c r="S65" s="9">
        <f>MAX(0,MIN(Параметры!$C$26-M65,T64))</f>
        <v>167021.06005287601</v>
      </c>
      <c r="T65" s="9">
        <f t="shared" si="15"/>
        <v>59125065.043079711</v>
      </c>
      <c r="U65" s="9">
        <f t="shared" si="16"/>
        <v>471105.25401858008</v>
      </c>
      <c r="V65" s="9">
        <f t="shared" si="9"/>
        <v>-11679537.556745382</v>
      </c>
    </row>
    <row r="66" spans="1:22" x14ac:dyDescent="0.25">
      <c r="A66" s="11">
        <v>65</v>
      </c>
      <c r="B66" s="11" t="s">
        <v>127</v>
      </c>
      <c r="C66" s="12" t="s">
        <v>75</v>
      </c>
      <c r="D66" s="13">
        <f>Параметры!$C$4*Параметры!$C$7*(1+Параметры!$C$8)^INT((A66-Параметры!$C$11-1)/12)</f>
        <v>3983511.6748800008</v>
      </c>
      <c r="E66" s="13">
        <f>D66/(1+Параметры!$C$13)</f>
        <v>3265173.5040000007</v>
      </c>
      <c r="F66" s="13">
        <f t="shared" si="10"/>
        <v>718338.17088000011</v>
      </c>
      <c r="G66" s="13">
        <f>IF(AND(A66&gt;Параметры!$C$11,A66&lt;=Параметры!$C$11+3),Параметры!$C$28,0)</f>
        <v>0</v>
      </c>
      <c r="H66" s="13">
        <f t="shared" si="11"/>
        <v>718338.17088000011</v>
      </c>
      <c r="I66" s="13">
        <f>E66*Параметры!$C$16</f>
        <v>489776.02560000005</v>
      </c>
      <c r="J66" s="13">
        <f>Параметры!$C$27</f>
        <v>170765.02732240438</v>
      </c>
      <c r="K66" s="13">
        <f>MAX(0,Параметры!$C$20-Параметры!$C$27*MAX(0,A66-Параметры!$C$11-1))*Параметры!$C$15/12</f>
        <v>133993.62477231328</v>
      </c>
      <c r="L66" s="13">
        <f t="shared" si="12"/>
        <v>2470638.8263052823</v>
      </c>
      <c r="M66" s="13">
        <f>T65*Параметры!$C$10/12</f>
        <v>985417.75071799522</v>
      </c>
      <c r="N66" s="13">
        <f t="shared" si="13"/>
        <v>1485221.0755872871</v>
      </c>
      <c r="O66" s="13">
        <f>MAX(0,N66*Параметры!$C$14)</f>
        <v>297044.21511745744</v>
      </c>
      <c r="P66" s="13">
        <f t="shared" si="14"/>
        <v>1188176.8604698298</v>
      </c>
      <c r="Q66" s="13">
        <v>0</v>
      </c>
      <c r="R66" s="13">
        <v>0</v>
      </c>
      <c r="S66" s="13">
        <f>MAX(0,MIN(Параметры!$C$26-M66,T65))</f>
        <v>169804.74438709067</v>
      </c>
      <c r="T66" s="13">
        <f t="shared" si="15"/>
        <v>58955260.298692621</v>
      </c>
      <c r="U66" s="13">
        <f t="shared" si="16"/>
        <v>470798.9725251433</v>
      </c>
      <c r="V66" s="13">
        <f t="shared" si="9"/>
        <v>-11208738.584220238</v>
      </c>
    </row>
    <row r="67" spans="1:22" x14ac:dyDescent="0.25">
      <c r="A67" s="14">
        <v>66</v>
      </c>
      <c r="B67" s="14" t="s">
        <v>128</v>
      </c>
      <c r="C67" s="15" t="s">
        <v>75</v>
      </c>
      <c r="D67" s="9">
        <f>Параметры!$C$4*Параметры!$C$7*(1+Параметры!$C$8)^INT((A67-Параметры!$C$11-1)/12)</f>
        <v>3983511.6748800008</v>
      </c>
      <c r="E67" s="9">
        <f>D67/(1+Параметры!$C$13)</f>
        <v>3265173.5040000007</v>
      </c>
      <c r="F67" s="9">
        <f t="shared" si="10"/>
        <v>718338.17088000011</v>
      </c>
      <c r="G67" s="9">
        <f>IF(AND(A67&gt;Параметры!$C$11,A67&lt;=Параметры!$C$11+3),Параметры!$C$28,0)</f>
        <v>0</v>
      </c>
      <c r="H67" s="9">
        <f t="shared" si="11"/>
        <v>718338.17088000011</v>
      </c>
      <c r="I67" s="9">
        <f>E67*Параметры!$C$16</f>
        <v>489776.02560000005</v>
      </c>
      <c r="J67" s="9">
        <f>Параметры!$C$27</f>
        <v>170765.02732240438</v>
      </c>
      <c r="K67" s="9">
        <f>MAX(0,Параметры!$C$20-Параметры!$C$27*MAX(0,A67-Параметры!$C$11-1))*Параметры!$C$15/12</f>
        <v>133680.55555555553</v>
      </c>
      <c r="L67" s="9">
        <f t="shared" si="12"/>
        <v>2470951.8955220403</v>
      </c>
      <c r="M67" s="9">
        <f>T66*Параметры!$C$10/12</f>
        <v>982587.67164487706</v>
      </c>
      <c r="N67" s="9">
        <f t="shared" si="13"/>
        <v>1488364.2238771631</v>
      </c>
      <c r="O67" s="9">
        <f>MAX(0,N67*Параметры!$C$14)</f>
        <v>297672.84477543266</v>
      </c>
      <c r="P67" s="9">
        <f t="shared" si="14"/>
        <v>1190691.3791017304</v>
      </c>
      <c r="Q67" s="9">
        <v>0</v>
      </c>
      <c r="R67" s="9">
        <v>0</v>
      </c>
      <c r="S67" s="9">
        <f>MAX(0,MIN(Параметры!$C$26-M67,T66))</f>
        <v>172634.82346020883</v>
      </c>
      <c r="T67" s="9">
        <f t="shared" si="15"/>
        <v>58782625.475232415</v>
      </c>
      <c r="U67" s="9">
        <f t="shared" si="16"/>
        <v>470483.41208392568</v>
      </c>
      <c r="V67" s="9">
        <f t="shared" ref="V67:V98" si="17">V66+U67</f>
        <v>-10738255.172136312</v>
      </c>
    </row>
    <row r="68" spans="1:22" x14ac:dyDescent="0.25">
      <c r="A68" s="11">
        <v>67</v>
      </c>
      <c r="B68" s="11" t="s">
        <v>129</v>
      </c>
      <c r="C68" s="12" t="s">
        <v>75</v>
      </c>
      <c r="D68" s="13">
        <f>Параметры!$C$4*Параметры!$C$7*(1+Параметры!$C$8)^INT((A68-Параметры!$C$11-1)/12)</f>
        <v>3983511.6748800008</v>
      </c>
      <c r="E68" s="13">
        <f>D68/(1+Параметры!$C$13)</f>
        <v>3265173.5040000007</v>
      </c>
      <c r="F68" s="13">
        <f t="shared" si="10"/>
        <v>718338.17088000011</v>
      </c>
      <c r="G68" s="13">
        <f>IF(AND(A68&gt;Параметры!$C$11,A68&lt;=Параметры!$C$11+3),Параметры!$C$28,0)</f>
        <v>0</v>
      </c>
      <c r="H68" s="13">
        <f t="shared" si="11"/>
        <v>718338.17088000011</v>
      </c>
      <c r="I68" s="13">
        <f>E68*Параметры!$C$16</f>
        <v>489776.02560000005</v>
      </c>
      <c r="J68" s="13">
        <f>Параметры!$C$27</f>
        <v>170765.02732240438</v>
      </c>
      <c r="K68" s="13">
        <f>MAX(0,Параметры!$C$20-Параметры!$C$27*MAX(0,A68-Параметры!$C$11-1))*Параметры!$C$15/12</f>
        <v>133367.48633879781</v>
      </c>
      <c r="L68" s="13">
        <f t="shared" si="12"/>
        <v>2471264.9647387979</v>
      </c>
      <c r="M68" s="13">
        <f>T67*Параметры!$C$10/12</f>
        <v>979710.42458720692</v>
      </c>
      <c r="N68" s="13">
        <f t="shared" si="13"/>
        <v>1491554.5401515909</v>
      </c>
      <c r="O68" s="13">
        <f>MAX(0,N68*Параметры!$C$14)</f>
        <v>298310.90803031821</v>
      </c>
      <c r="P68" s="13">
        <f t="shared" si="14"/>
        <v>1193243.6321212729</v>
      </c>
      <c r="Q68" s="13">
        <v>0</v>
      </c>
      <c r="R68" s="13">
        <v>0</v>
      </c>
      <c r="S68" s="13">
        <f>MAX(0,MIN(Параметры!$C$26-M68,T67))</f>
        <v>175512.07051787898</v>
      </c>
      <c r="T68" s="13">
        <f t="shared" si="15"/>
        <v>58607113.40471454</v>
      </c>
      <c r="U68" s="13">
        <f t="shared" si="16"/>
        <v>470158.41804579808</v>
      </c>
      <c r="V68" s="13">
        <f t="shared" si="17"/>
        <v>-10268096.754090514</v>
      </c>
    </row>
    <row r="69" spans="1:22" x14ac:dyDescent="0.25">
      <c r="A69" s="14">
        <v>68</v>
      </c>
      <c r="B69" s="14" t="s">
        <v>130</v>
      </c>
      <c r="C69" s="15" t="s">
        <v>75</v>
      </c>
      <c r="D69" s="9">
        <f>Параметры!$C$4*Параметры!$C$7*(1+Параметры!$C$8)^INT((A69-Параметры!$C$11-1)/12)</f>
        <v>3983511.6748800008</v>
      </c>
      <c r="E69" s="9">
        <f>D69/(1+Параметры!$C$13)</f>
        <v>3265173.5040000007</v>
      </c>
      <c r="F69" s="9">
        <f t="shared" si="10"/>
        <v>718338.17088000011</v>
      </c>
      <c r="G69" s="9">
        <f>IF(AND(A69&gt;Параметры!$C$11,A69&lt;=Параметры!$C$11+3),Параметры!$C$28,0)</f>
        <v>0</v>
      </c>
      <c r="H69" s="9">
        <f t="shared" si="11"/>
        <v>718338.17088000011</v>
      </c>
      <c r="I69" s="9">
        <f>E69*Параметры!$C$16</f>
        <v>489776.02560000005</v>
      </c>
      <c r="J69" s="9">
        <f>Параметры!$C$27</f>
        <v>170765.02732240438</v>
      </c>
      <c r="K69" s="9">
        <f>MAX(0,Параметры!$C$20-Параметры!$C$27*MAX(0,A69-Параметры!$C$11-1))*Параметры!$C$15/12</f>
        <v>133054.41712204003</v>
      </c>
      <c r="L69" s="9">
        <f t="shared" si="12"/>
        <v>2471578.0339555559</v>
      </c>
      <c r="M69" s="9">
        <f>T68*Параметры!$C$10/12</f>
        <v>976785.22341190896</v>
      </c>
      <c r="N69" s="9">
        <f t="shared" si="13"/>
        <v>1494792.810543647</v>
      </c>
      <c r="O69" s="9">
        <f>MAX(0,N69*Параметры!$C$14)</f>
        <v>298958.56210872944</v>
      </c>
      <c r="P69" s="9">
        <f t="shared" si="14"/>
        <v>1195834.2484349175</v>
      </c>
      <c r="Q69" s="9">
        <v>0</v>
      </c>
      <c r="R69" s="9">
        <v>0</v>
      </c>
      <c r="S69" s="9">
        <f>MAX(0,MIN(Параметры!$C$26-M69,T68))</f>
        <v>178437.27169317694</v>
      </c>
      <c r="T69" s="9">
        <f t="shared" si="15"/>
        <v>58428676.133021362</v>
      </c>
      <c r="U69" s="9">
        <f t="shared" si="16"/>
        <v>469823.83318414493</v>
      </c>
      <c r="V69" s="9">
        <f t="shared" si="17"/>
        <v>-9798272.9209063686</v>
      </c>
    </row>
    <row r="70" spans="1:22" x14ac:dyDescent="0.25">
      <c r="A70" s="11">
        <v>69</v>
      </c>
      <c r="B70" s="11" t="s">
        <v>131</v>
      </c>
      <c r="C70" s="12" t="s">
        <v>75</v>
      </c>
      <c r="D70" s="13">
        <f>Параметры!$C$4*Параметры!$C$7*(1+Параметры!$C$8)^INT((A70-Параметры!$C$11-1)/12)</f>
        <v>3983511.6748800008</v>
      </c>
      <c r="E70" s="13">
        <f>D70/(1+Параметры!$C$13)</f>
        <v>3265173.5040000007</v>
      </c>
      <c r="F70" s="13">
        <f t="shared" si="10"/>
        <v>718338.17088000011</v>
      </c>
      <c r="G70" s="13">
        <f>IF(AND(A70&gt;Параметры!$C$11,A70&lt;=Параметры!$C$11+3),Параметры!$C$28,0)</f>
        <v>0</v>
      </c>
      <c r="H70" s="13">
        <f t="shared" si="11"/>
        <v>718338.17088000011</v>
      </c>
      <c r="I70" s="13">
        <f>E70*Параметры!$C$16</f>
        <v>489776.02560000005</v>
      </c>
      <c r="J70" s="13">
        <f>Параметры!$C$27</f>
        <v>170765.02732240438</v>
      </c>
      <c r="K70" s="13">
        <f>MAX(0,Параметры!$C$20-Параметры!$C$27*MAX(0,A70-Параметры!$C$11-1))*Параметры!$C$15/12</f>
        <v>132741.34790528231</v>
      </c>
      <c r="L70" s="13">
        <f t="shared" si="12"/>
        <v>2471891.1031723134</v>
      </c>
      <c r="M70" s="13">
        <f>T69*Параметры!$C$10/12</f>
        <v>973811.26888368942</v>
      </c>
      <c r="N70" s="13">
        <f t="shared" si="13"/>
        <v>1498079.8342886241</v>
      </c>
      <c r="O70" s="13">
        <f>MAX(0,N70*Параметры!$C$14)</f>
        <v>299615.96685772482</v>
      </c>
      <c r="P70" s="13">
        <f t="shared" si="14"/>
        <v>1198463.8674308993</v>
      </c>
      <c r="Q70" s="13">
        <v>0</v>
      </c>
      <c r="R70" s="13">
        <v>0</v>
      </c>
      <c r="S70" s="13">
        <f>MAX(0,MIN(Параметры!$C$26-M70,T69))</f>
        <v>181411.22622139647</v>
      </c>
      <c r="T70" s="13">
        <f t="shared" si="15"/>
        <v>58247264.906799965</v>
      </c>
      <c r="U70" s="13">
        <f t="shared" si="16"/>
        <v>469479.49765190715</v>
      </c>
      <c r="V70" s="13">
        <f t="shared" si="17"/>
        <v>-9328793.423254462</v>
      </c>
    </row>
    <row r="71" spans="1:22" x14ac:dyDescent="0.25">
      <c r="A71" s="14">
        <v>70</v>
      </c>
      <c r="B71" s="14" t="s">
        <v>132</v>
      </c>
      <c r="C71" s="15" t="s">
        <v>75</v>
      </c>
      <c r="D71" s="9">
        <f>Параметры!$C$4*Параметры!$C$7*(1+Параметры!$C$8)^INT((A71-Параметры!$C$11-1)/12)</f>
        <v>3983511.6748800008</v>
      </c>
      <c r="E71" s="9">
        <f>D71/(1+Параметры!$C$13)</f>
        <v>3265173.5040000007</v>
      </c>
      <c r="F71" s="9">
        <f t="shared" si="10"/>
        <v>718338.17088000011</v>
      </c>
      <c r="G71" s="9">
        <f>IF(AND(A71&gt;Параметры!$C$11,A71&lt;=Параметры!$C$11+3),Параметры!$C$28,0)</f>
        <v>0</v>
      </c>
      <c r="H71" s="9">
        <f t="shared" si="11"/>
        <v>718338.17088000011</v>
      </c>
      <c r="I71" s="9">
        <f>E71*Параметры!$C$16</f>
        <v>489776.02560000005</v>
      </c>
      <c r="J71" s="9">
        <f>Параметры!$C$27</f>
        <v>170765.02732240438</v>
      </c>
      <c r="K71" s="9">
        <f>MAX(0,Параметры!$C$20-Параметры!$C$27*MAX(0,A71-Параметры!$C$11-1))*Параметры!$C$15/12</f>
        <v>132428.27868852456</v>
      </c>
      <c r="L71" s="9">
        <f t="shared" si="12"/>
        <v>2472204.1723890714</v>
      </c>
      <c r="M71" s="9">
        <f>T70*Параметры!$C$10/12</f>
        <v>970787.74844666617</v>
      </c>
      <c r="N71" s="9">
        <f t="shared" si="13"/>
        <v>1501416.4239424053</v>
      </c>
      <c r="O71" s="9">
        <f>MAX(0,N71*Параметры!$C$14)</f>
        <v>300283.28478848108</v>
      </c>
      <c r="P71" s="9">
        <f t="shared" si="14"/>
        <v>1201133.1391539243</v>
      </c>
      <c r="Q71" s="9">
        <v>0</v>
      </c>
      <c r="R71" s="9">
        <v>0</v>
      </c>
      <c r="S71" s="9">
        <f>MAX(0,MIN(Параметры!$C$26-M71,T70))</f>
        <v>184434.74665841972</v>
      </c>
      <c r="T71" s="9">
        <f t="shared" si="15"/>
        <v>58062830.160141543</v>
      </c>
      <c r="U71" s="9">
        <f t="shared" si="16"/>
        <v>469125.24893790879</v>
      </c>
      <c r="V71" s="9">
        <f t="shared" si="17"/>
        <v>-8859668.1743165534</v>
      </c>
    </row>
    <row r="72" spans="1:22" x14ac:dyDescent="0.25">
      <c r="A72" s="11">
        <v>71</v>
      </c>
      <c r="B72" s="11" t="s">
        <v>133</v>
      </c>
      <c r="C72" s="12" t="s">
        <v>75</v>
      </c>
      <c r="D72" s="13">
        <f>Параметры!$C$4*Параметры!$C$7*(1+Параметры!$C$8)^INT((A72-Параметры!$C$11-1)/12)</f>
        <v>3983511.6748800008</v>
      </c>
      <c r="E72" s="13">
        <f>D72/(1+Параметры!$C$13)</f>
        <v>3265173.5040000007</v>
      </c>
      <c r="F72" s="13">
        <f t="shared" si="10"/>
        <v>718338.17088000011</v>
      </c>
      <c r="G72" s="13">
        <f>IF(AND(A72&gt;Параметры!$C$11,A72&lt;=Параметры!$C$11+3),Параметры!$C$28,0)</f>
        <v>0</v>
      </c>
      <c r="H72" s="13">
        <f t="shared" si="11"/>
        <v>718338.17088000011</v>
      </c>
      <c r="I72" s="13">
        <f>E72*Параметры!$C$16</f>
        <v>489776.02560000005</v>
      </c>
      <c r="J72" s="13">
        <f>Параметры!$C$27</f>
        <v>170765.02732240438</v>
      </c>
      <c r="K72" s="13">
        <f>MAX(0,Параметры!$C$20-Параметры!$C$27*MAX(0,A72-Параметры!$C$11-1))*Параметры!$C$15/12</f>
        <v>132115.20947176684</v>
      </c>
      <c r="L72" s="13">
        <f t="shared" si="12"/>
        <v>2472517.241605829</v>
      </c>
      <c r="M72" s="13">
        <f>T71*Параметры!$C$10/12</f>
        <v>967713.83600235917</v>
      </c>
      <c r="N72" s="13">
        <f t="shared" si="13"/>
        <v>1504803.4056034698</v>
      </c>
      <c r="O72" s="13">
        <f>MAX(0,N72*Параметры!$C$14)</f>
        <v>300960.68112069397</v>
      </c>
      <c r="P72" s="13">
        <f t="shared" si="14"/>
        <v>1203842.7244827759</v>
      </c>
      <c r="Q72" s="13">
        <v>0</v>
      </c>
      <c r="R72" s="13">
        <v>0</v>
      </c>
      <c r="S72" s="13">
        <f>MAX(0,MIN(Параметры!$C$26-M72,T71))</f>
        <v>187508.65910272673</v>
      </c>
      <c r="T72" s="13">
        <f t="shared" si="15"/>
        <v>57875321.50103882</v>
      </c>
      <c r="U72" s="13">
        <f t="shared" si="16"/>
        <v>468760.92182245338</v>
      </c>
      <c r="V72" s="13">
        <f t="shared" si="17"/>
        <v>-8390907.2524941005</v>
      </c>
    </row>
    <row r="73" spans="1:22" x14ac:dyDescent="0.25">
      <c r="A73" s="14">
        <v>72</v>
      </c>
      <c r="B73" s="14" t="s">
        <v>134</v>
      </c>
      <c r="C73" s="15" t="s">
        <v>75</v>
      </c>
      <c r="D73" s="9">
        <f>Параметры!$C$4*Параметры!$C$7*(1+Параметры!$C$8)^INT((A73-Параметры!$C$11-1)/12)</f>
        <v>3983511.6748800008</v>
      </c>
      <c r="E73" s="9">
        <f>D73/(1+Параметры!$C$13)</f>
        <v>3265173.5040000007</v>
      </c>
      <c r="F73" s="9">
        <f t="shared" si="10"/>
        <v>718338.17088000011</v>
      </c>
      <c r="G73" s="9">
        <f>IF(AND(A73&gt;Параметры!$C$11,A73&lt;=Параметры!$C$11+3),Параметры!$C$28,0)</f>
        <v>0</v>
      </c>
      <c r="H73" s="9">
        <f t="shared" si="11"/>
        <v>718338.17088000011</v>
      </c>
      <c r="I73" s="9">
        <f>E73*Параметры!$C$16</f>
        <v>489776.02560000005</v>
      </c>
      <c r="J73" s="9">
        <f>Параметры!$C$27</f>
        <v>170765.02732240438</v>
      </c>
      <c r="K73" s="9">
        <f>MAX(0,Параметры!$C$20-Параметры!$C$27*MAX(0,A73-Параметры!$C$11-1))*Параметры!$C$15/12</f>
        <v>131802.14025500909</v>
      </c>
      <c r="L73" s="9">
        <f t="shared" si="12"/>
        <v>2472830.3108225865</v>
      </c>
      <c r="M73" s="9">
        <f>T72*Параметры!$C$10/12</f>
        <v>964588.69168398029</v>
      </c>
      <c r="N73" s="9">
        <f t="shared" si="13"/>
        <v>1508241.6191386064</v>
      </c>
      <c r="O73" s="9">
        <f>MAX(0,N73*Параметры!$C$14)</f>
        <v>301648.32382772129</v>
      </c>
      <c r="P73" s="9">
        <f t="shared" si="14"/>
        <v>1206593.2953108852</v>
      </c>
      <c r="Q73" s="9">
        <v>0</v>
      </c>
      <c r="R73" s="9">
        <v>0</v>
      </c>
      <c r="S73" s="9">
        <f>MAX(0,MIN(Параметры!$C$26-M73,T72))</f>
        <v>190633.80342110561</v>
      </c>
      <c r="T73" s="9">
        <f t="shared" si="15"/>
        <v>57684687.697617717</v>
      </c>
      <c r="U73" s="9">
        <f t="shared" si="16"/>
        <v>468386.3483321839</v>
      </c>
      <c r="V73" s="9">
        <f t="shared" si="17"/>
        <v>-7922520.904161917</v>
      </c>
    </row>
    <row r="74" spans="1:22" x14ac:dyDescent="0.25">
      <c r="A74" s="11">
        <v>73</v>
      </c>
      <c r="B74" s="11" t="s">
        <v>135</v>
      </c>
      <c r="C74" s="12" t="s">
        <v>75</v>
      </c>
      <c r="D74" s="13">
        <f>Параметры!$C$4*Параметры!$C$7*(1+Параметры!$C$8)^INT((A74-Параметры!$C$11-1)/12)</f>
        <v>4302192.608870401</v>
      </c>
      <c r="E74" s="13">
        <f>D74/(1+Параметры!$C$13)</f>
        <v>3526387.3843200011</v>
      </c>
      <c r="F74" s="13">
        <f t="shared" si="10"/>
        <v>775805.22455039993</v>
      </c>
      <c r="G74" s="13">
        <f>IF(AND(A74&gt;Параметры!$C$11,A74&lt;=Параметры!$C$11+3),Параметры!$C$28,0)</f>
        <v>0</v>
      </c>
      <c r="H74" s="13">
        <f t="shared" si="11"/>
        <v>775805.22455039993</v>
      </c>
      <c r="I74" s="13">
        <f>E74*Параметры!$C$16</f>
        <v>528958.10764800012</v>
      </c>
      <c r="J74" s="13">
        <f>Параметры!$C$27</f>
        <v>170765.02732240438</v>
      </c>
      <c r="K74" s="13">
        <f>MAX(0,Параметры!$C$20-Параметры!$C$27*MAX(0,A74-Параметры!$C$11-1))*Параметры!$C$15/12</f>
        <v>131489.07103825136</v>
      </c>
      <c r="L74" s="13">
        <f t="shared" si="12"/>
        <v>2695175.1783113452</v>
      </c>
      <c r="M74" s="13">
        <f>T73*Параметры!$C$10/12</f>
        <v>961411.46162696194</v>
      </c>
      <c r="N74" s="13">
        <f t="shared" si="13"/>
        <v>1733763.7166843833</v>
      </c>
      <c r="O74" s="13">
        <f>MAX(0,N74*Параметры!$C$14)</f>
        <v>346752.74333687668</v>
      </c>
      <c r="P74" s="13">
        <f t="shared" si="14"/>
        <v>1387010.9733475067</v>
      </c>
      <c r="Q74" s="13">
        <v>0</v>
      </c>
      <c r="R74" s="13">
        <v>0</v>
      </c>
      <c r="S74" s="13">
        <f>MAX(0,MIN(Параметры!$C$26-M74,T73))</f>
        <v>193811.03347812395</v>
      </c>
      <c r="T74" s="13">
        <f t="shared" si="15"/>
        <v>57490876.664139591</v>
      </c>
      <c r="U74" s="13">
        <f t="shared" si="16"/>
        <v>588159.74264138704</v>
      </c>
      <c r="V74" s="13">
        <f t="shared" si="17"/>
        <v>-7334361.1615205295</v>
      </c>
    </row>
    <row r="75" spans="1:22" x14ac:dyDescent="0.25">
      <c r="A75" s="14">
        <v>74</v>
      </c>
      <c r="B75" s="14" t="s">
        <v>136</v>
      </c>
      <c r="C75" s="15" t="s">
        <v>75</v>
      </c>
      <c r="D75" s="9">
        <f>Параметры!$C$4*Параметры!$C$7*(1+Параметры!$C$8)^INT((A75-Параметры!$C$11-1)/12)</f>
        <v>4302192.608870401</v>
      </c>
      <c r="E75" s="9">
        <f>D75/(1+Параметры!$C$13)</f>
        <v>3526387.3843200011</v>
      </c>
      <c r="F75" s="9">
        <f t="shared" si="10"/>
        <v>775805.22455039993</v>
      </c>
      <c r="G75" s="9">
        <f>IF(AND(A75&gt;Параметры!$C$11,A75&lt;=Параметры!$C$11+3),Параметры!$C$28,0)</f>
        <v>0</v>
      </c>
      <c r="H75" s="9">
        <f t="shared" si="11"/>
        <v>775805.22455039993</v>
      </c>
      <c r="I75" s="9">
        <f>E75*Параметры!$C$16</f>
        <v>528958.10764800012</v>
      </c>
      <c r="J75" s="9">
        <f>Параметры!$C$27</f>
        <v>170765.02732240438</v>
      </c>
      <c r="K75" s="9">
        <f>MAX(0,Параметры!$C$20-Параметры!$C$27*MAX(0,A75-Параметры!$C$11-1))*Параметры!$C$15/12</f>
        <v>131176.00182149358</v>
      </c>
      <c r="L75" s="9">
        <f t="shared" si="12"/>
        <v>2695488.2475281027</v>
      </c>
      <c r="M75" s="9">
        <f>T74*Параметры!$C$10/12</f>
        <v>958181.27773565985</v>
      </c>
      <c r="N75" s="9">
        <f t="shared" si="13"/>
        <v>1737306.9697924429</v>
      </c>
      <c r="O75" s="9">
        <f>MAX(0,N75*Параметры!$C$14)</f>
        <v>347461.3939584886</v>
      </c>
      <c r="P75" s="9">
        <f t="shared" si="14"/>
        <v>1389845.5758339544</v>
      </c>
      <c r="Q75" s="9">
        <v>0</v>
      </c>
      <c r="R75" s="9">
        <v>0</v>
      </c>
      <c r="S75" s="9">
        <f>MAX(0,MIN(Параметры!$C$26-M75,T74))</f>
        <v>197041.21736942604</v>
      </c>
      <c r="T75" s="9">
        <f t="shared" si="15"/>
        <v>57293835.446770161</v>
      </c>
      <c r="U75" s="9">
        <f t="shared" si="16"/>
        <v>587764.16123653273</v>
      </c>
      <c r="V75" s="9">
        <f t="shared" si="17"/>
        <v>-6746597.0002839966</v>
      </c>
    </row>
    <row r="76" spans="1:22" x14ac:dyDescent="0.25">
      <c r="A76" s="11">
        <v>75</v>
      </c>
      <c r="B76" s="11" t="s">
        <v>137</v>
      </c>
      <c r="C76" s="12" t="s">
        <v>75</v>
      </c>
      <c r="D76" s="13">
        <f>Параметры!$C$4*Параметры!$C$7*(1+Параметры!$C$8)^INT((A76-Параметры!$C$11-1)/12)</f>
        <v>4302192.608870401</v>
      </c>
      <c r="E76" s="13">
        <f>D76/(1+Параметры!$C$13)</f>
        <v>3526387.3843200011</v>
      </c>
      <c r="F76" s="13">
        <f t="shared" si="10"/>
        <v>775805.22455039993</v>
      </c>
      <c r="G76" s="13">
        <f>IF(AND(A76&gt;Параметры!$C$11,A76&lt;=Параметры!$C$11+3),Параметры!$C$28,0)</f>
        <v>0</v>
      </c>
      <c r="H76" s="13">
        <f t="shared" si="11"/>
        <v>775805.22455039993</v>
      </c>
      <c r="I76" s="13">
        <f>E76*Параметры!$C$16</f>
        <v>528958.10764800012</v>
      </c>
      <c r="J76" s="13">
        <f>Параметры!$C$27</f>
        <v>170765.02732240438</v>
      </c>
      <c r="K76" s="13">
        <f>MAX(0,Параметры!$C$20-Параметры!$C$27*MAX(0,A76-Параметры!$C$11-1))*Параметры!$C$15/12</f>
        <v>130862.93260473588</v>
      </c>
      <c r="L76" s="13">
        <f t="shared" si="12"/>
        <v>2695801.3167448607</v>
      </c>
      <c r="M76" s="13">
        <f>T75*Параметры!$C$10/12</f>
        <v>954897.25744616939</v>
      </c>
      <c r="N76" s="13">
        <f t="shared" si="13"/>
        <v>1740904.0592986913</v>
      </c>
      <c r="O76" s="13">
        <f>MAX(0,N76*Параметры!$C$14)</f>
        <v>348180.81185973831</v>
      </c>
      <c r="P76" s="13">
        <f t="shared" si="14"/>
        <v>1392723.247438953</v>
      </c>
      <c r="Q76" s="13">
        <v>0</v>
      </c>
      <c r="R76" s="13">
        <v>0</v>
      </c>
      <c r="S76" s="13">
        <f>MAX(0,MIN(Параметры!$C$26-M76,T75))</f>
        <v>200325.23765891651</v>
      </c>
      <c r="T76" s="13">
        <f t="shared" si="15"/>
        <v>57093510.209111243</v>
      </c>
      <c r="U76" s="13">
        <f t="shared" si="16"/>
        <v>587357.81255204091</v>
      </c>
      <c r="V76" s="13">
        <f t="shared" si="17"/>
        <v>-6159239.1877319552</v>
      </c>
    </row>
    <row r="77" spans="1:22" x14ac:dyDescent="0.25">
      <c r="A77" s="14">
        <v>76</v>
      </c>
      <c r="B77" s="14" t="s">
        <v>138</v>
      </c>
      <c r="C77" s="15" t="s">
        <v>75</v>
      </c>
      <c r="D77" s="9">
        <f>Параметры!$C$4*Параметры!$C$7*(1+Параметры!$C$8)^INT((A77-Параметры!$C$11-1)/12)</f>
        <v>4302192.608870401</v>
      </c>
      <c r="E77" s="9">
        <f>D77/(1+Параметры!$C$13)</f>
        <v>3526387.3843200011</v>
      </c>
      <c r="F77" s="9">
        <f t="shared" si="10"/>
        <v>775805.22455039993</v>
      </c>
      <c r="G77" s="9">
        <f>IF(AND(A77&gt;Параметры!$C$11,A77&lt;=Параметры!$C$11+3),Параметры!$C$28,0)</f>
        <v>0</v>
      </c>
      <c r="H77" s="9">
        <f t="shared" si="11"/>
        <v>775805.22455039993</v>
      </c>
      <c r="I77" s="9">
        <f>E77*Параметры!$C$16</f>
        <v>528958.10764800012</v>
      </c>
      <c r="J77" s="9">
        <f>Параметры!$C$27</f>
        <v>170765.02732240438</v>
      </c>
      <c r="K77" s="9">
        <f>MAX(0,Параметры!$C$20-Параметры!$C$27*MAX(0,A77-Параметры!$C$11-1))*Параметры!$C$15/12</f>
        <v>130549.86338797811</v>
      </c>
      <c r="L77" s="9">
        <f t="shared" si="12"/>
        <v>2696114.3859616183</v>
      </c>
      <c r="M77" s="9">
        <f>T76*Параметры!$C$10/12</f>
        <v>951558.50348518742</v>
      </c>
      <c r="N77" s="9">
        <f t="shared" si="13"/>
        <v>1744555.8824764309</v>
      </c>
      <c r="O77" s="9">
        <f>MAX(0,N77*Параметры!$C$14)</f>
        <v>348911.17649528617</v>
      </c>
      <c r="P77" s="9">
        <f t="shared" si="14"/>
        <v>1395644.7059811447</v>
      </c>
      <c r="Q77" s="9">
        <v>0</v>
      </c>
      <c r="R77" s="9">
        <v>0</v>
      </c>
      <c r="S77" s="9">
        <f>MAX(0,MIN(Параметры!$C$26-M77,T76))</f>
        <v>203663.99161989847</v>
      </c>
      <c r="T77" s="9">
        <f t="shared" si="15"/>
        <v>56889846.217491344</v>
      </c>
      <c r="U77" s="9">
        <f t="shared" si="16"/>
        <v>586940.5171332506</v>
      </c>
      <c r="V77" s="9">
        <f t="shared" si="17"/>
        <v>-5572298.6705987044</v>
      </c>
    </row>
    <row r="78" spans="1:22" x14ac:dyDescent="0.25">
      <c r="A78" s="11">
        <v>77</v>
      </c>
      <c r="B78" s="11" t="s">
        <v>139</v>
      </c>
      <c r="C78" s="12" t="s">
        <v>75</v>
      </c>
      <c r="D78" s="13">
        <f>Параметры!$C$4*Параметры!$C$7*(1+Параметры!$C$8)^INT((A78-Параметры!$C$11-1)/12)</f>
        <v>4302192.608870401</v>
      </c>
      <c r="E78" s="13">
        <f>D78/(1+Параметры!$C$13)</f>
        <v>3526387.3843200011</v>
      </c>
      <c r="F78" s="13">
        <f t="shared" ref="F78:F109" si="18">D78-E78</f>
        <v>775805.22455039993</v>
      </c>
      <c r="G78" s="13">
        <f>IF(AND(A78&gt;Параметры!$C$11,A78&lt;=Параметры!$C$11+3),Параметры!$C$28,0)</f>
        <v>0</v>
      </c>
      <c r="H78" s="13">
        <f t="shared" ref="H78:H109" si="19">F78-G78</f>
        <v>775805.22455039993</v>
      </c>
      <c r="I78" s="13">
        <f>E78*Параметры!$C$16</f>
        <v>528958.10764800012</v>
      </c>
      <c r="J78" s="13">
        <f>Параметры!$C$27</f>
        <v>170765.02732240438</v>
      </c>
      <c r="K78" s="13">
        <f>MAX(0,Параметры!$C$20-Параметры!$C$27*MAX(0,A78-Параметры!$C$11-1))*Параметры!$C$15/12</f>
        <v>130236.79417122039</v>
      </c>
      <c r="L78" s="13">
        <f t="shared" ref="L78:L109" si="20">E78-I78-J78-K78</f>
        <v>2696427.4551783763</v>
      </c>
      <c r="M78" s="13">
        <f>T77*Параметры!$C$10/12</f>
        <v>948164.10362485575</v>
      </c>
      <c r="N78" s="13">
        <f t="shared" ref="N78:N109" si="21">L78-M78</f>
        <v>1748263.3515535207</v>
      </c>
      <c r="O78" s="13">
        <f>MAX(0,N78*Параметры!$C$14)</f>
        <v>349652.67031070415</v>
      </c>
      <c r="P78" s="13">
        <f t="shared" ref="P78:P109" si="22">N78-O78</f>
        <v>1398610.6812428166</v>
      </c>
      <c r="Q78" s="13">
        <v>0</v>
      </c>
      <c r="R78" s="13">
        <v>0</v>
      </c>
      <c r="S78" s="13">
        <f>MAX(0,MIN(Параметры!$C$26-M78,T77))</f>
        <v>207058.39148023014</v>
      </c>
      <c r="T78" s="13">
        <f t="shared" ref="T78:T109" si="23">MAX(0,T77-S78)</f>
        <v>56682787.826011114</v>
      </c>
      <c r="U78" s="13">
        <f t="shared" ref="U78:U109" si="24">P78+J78-S78-H78</f>
        <v>586512.09253459098</v>
      </c>
      <c r="V78" s="13">
        <f t="shared" si="17"/>
        <v>-4985786.5780641139</v>
      </c>
    </row>
    <row r="79" spans="1:22" x14ac:dyDescent="0.25">
      <c r="A79" s="14">
        <v>78</v>
      </c>
      <c r="B79" s="14" t="s">
        <v>140</v>
      </c>
      <c r="C79" s="15" t="s">
        <v>75</v>
      </c>
      <c r="D79" s="9">
        <f>Параметры!$C$4*Параметры!$C$7*(1+Параметры!$C$8)^INT((A79-Параметры!$C$11-1)/12)</f>
        <v>4302192.608870401</v>
      </c>
      <c r="E79" s="9">
        <f>D79/(1+Параметры!$C$13)</f>
        <v>3526387.3843200011</v>
      </c>
      <c r="F79" s="9">
        <f t="shared" si="18"/>
        <v>775805.22455039993</v>
      </c>
      <c r="G79" s="9">
        <f>IF(AND(A79&gt;Параметры!$C$11,A79&lt;=Параметры!$C$11+3),Параметры!$C$28,0)</f>
        <v>0</v>
      </c>
      <c r="H79" s="9">
        <f t="shared" si="19"/>
        <v>775805.22455039993</v>
      </c>
      <c r="I79" s="9">
        <f>E79*Параметры!$C$16</f>
        <v>528958.10764800012</v>
      </c>
      <c r="J79" s="9">
        <f>Параметры!$C$27</f>
        <v>170765.02732240438</v>
      </c>
      <c r="K79" s="9">
        <f>MAX(0,Параметры!$C$20-Параметры!$C$27*MAX(0,A79-Параметры!$C$11-1))*Параметры!$C$15/12</f>
        <v>129923.72495446265</v>
      </c>
      <c r="L79" s="9">
        <f t="shared" si="20"/>
        <v>2696740.5243951338</v>
      </c>
      <c r="M79" s="9">
        <f>T78*Параметры!$C$10/12</f>
        <v>944713.13043351856</v>
      </c>
      <c r="N79" s="9">
        <f t="shared" si="21"/>
        <v>1752027.3939616154</v>
      </c>
      <c r="O79" s="9">
        <f>MAX(0,N79*Параметры!$C$14)</f>
        <v>350405.47879232309</v>
      </c>
      <c r="P79" s="9">
        <f t="shared" si="22"/>
        <v>1401621.9151692924</v>
      </c>
      <c r="Q79" s="9">
        <v>0</v>
      </c>
      <c r="R79" s="9">
        <v>0</v>
      </c>
      <c r="S79" s="9">
        <f>MAX(0,MIN(Параметры!$C$26-M79,T78))</f>
        <v>210509.36467156734</v>
      </c>
      <c r="T79" s="9">
        <f t="shared" si="23"/>
        <v>56472278.461339548</v>
      </c>
      <c r="U79" s="9">
        <f t="shared" si="24"/>
        <v>586072.3532697293</v>
      </c>
      <c r="V79" s="9">
        <f t="shared" si="17"/>
        <v>-4399714.2247943841</v>
      </c>
    </row>
    <row r="80" spans="1:22" x14ac:dyDescent="0.25">
      <c r="A80" s="11">
        <v>79</v>
      </c>
      <c r="B80" s="11" t="s">
        <v>141</v>
      </c>
      <c r="C80" s="12" t="s">
        <v>75</v>
      </c>
      <c r="D80" s="13">
        <f>Параметры!$C$4*Параметры!$C$7*(1+Параметры!$C$8)^INT((A80-Параметры!$C$11-1)/12)</f>
        <v>4302192.608870401</v>
      </c>
      <c r="E80" s="13">
        <f>D80/(1+Параметры!$C$13)</f>
        <v>3526387.3843200011</v>
      </c>
      <c r="F80" s="13">
        <f t="shared" si="18"/>
        <v>775805.22455039993</v>
      </c>
      <c r="G80" s="13">
        <f>IF(AND(A80&gt;Параметры!$C$11,A80&lt;=Параметры!$C$11+3),Параметры!$C$28,0)</f>
        <v>0</v>
      </c>
      <c r="H80" s="13">
        <f t="shared" si="19"/>
        <v>775805.22455039993</v>
      </c>
      <c r="I80" s="13">
        <f>E80*Параметры!$C$16</f>
        <v>528958.10764800012</v>
      </c>
      <c r="J80" s="13">
        <f>Параметры!$C$27</f>
        <v>170765.02732240438</v>
      </c>
      <c r="K80" s="13">
        <f>MAX(0,Параметры!$C$20-Параметры!$C$27*MAX(0,A80-Параметры!$C$11-1))*Параметры!$C$15/12</f>
        <v>129610.6557377049</v>
      </c>
      <c r="L80" s="13">
        <f t="shared" si="20"/>
        <v>2697053.5936118914</v>
      </c>
      <c r="M80" s="13">
        <f>T79*Параметры!$C$10/12</f>
        <v>941204.64102232584</v>
      </c>
      <c r="N80" s="13">
        <f t="shared" si="21"/>
        <v>1755848.9525895654</v>
      </c>
      <c r="O80" s="13">
        <f>MAX(0,N80*Параметры!$C$14)</f>
        <v>351169.79051791312</v>
      </c>
      <c r="P80" s="13">
        <f t="shared" si="22"/>
        <v>1404679.1620716522</v>
      </c>
      <c r="Q80" s="13">
        <v>0</v>
      </c>
      <c r="R80" s="13">
        <v>0</v>
      </c>
      <c r="S80" s="13">
        <f>MAX(0,MIN(Параметры!$C$26-M80,T79))</f>
        <v>214017.85408276005</v>
      </c>
      <c r="T80" s="13">
        <f t="shared" si="23"/>
        <v>56258260.607256785</v>
      </c>
      <c r="U80" s="13">
        <f t="shared" si="24"/>
        <v>585621.11076089647</v>
      </c>
      <c r="V80" s="13">
        <f t="shared" si="17"/>
        <v>-3814093.1140334876</v>
      </c>
    </row>
    <row r="81" spans="1:22" x14ac:dyDescent="0.25">
      <c r="A81" s="14">
        <v>80</v>
      </c>
      <c r="B81" s="14" t="s">
        <v>142</v>
      </c>
      <c r="C81" s="15" t="s">
        <v>75</v>
      </c>
      <c r="D81" s="9">
        <f>Параметры!$C$4*Параметры!$C$7*(1+Параметры!$C$8)^INT((A81-Параметры!$C$11-1)/12)</f>
        <v>4302192.608870401</v>
      </c>
      <c r="E81" s="9">
        <f>D81/(1+Параметры!$C$13)</f>
        <v>3526387.3843200011</v>
      </c>
      <c r="F81" s="9">
        <f t="shared" si="18"/>
        <v>775805.22455039993</v>
      </c>
      <c r="G81" s="9">
        <f>IF(AND(A81&gt;Параметры!$C$11,A81&lt;=Параметры!$C$11+3),Параметры!$C$28,0)</f>
        <v>0</v>
      </c>
      <c r="H81" s="9">
        <f t="shared" si="19"/>
        <v>775805.22455039993</v>
      </c>
      <c r="I81" s="9">
        <f>E81*Параметры!$C$16</f>
        <v>528958.10764800012</v>
      </c>
      <c r="J81" s="9">
        <f>Параметры!$C$27</f>
        <v>170765.02732240438</v>
      </c>
      <c r="K81" s="9">
        <f>MAX(0,Параметры!$C$20-Параметры!$C$27*MAX(0,A81-Параметры!$C$11-1))*Параметры!$C$15/12</f>
        <v>129297.58652094717</v>
      </c>
      <c r="L81" s="9">
        <f t="shared" si="20"/>
        <v>2697366.6628286494</v>
      </c>
      <c r="M81" s="9">
        <f>T80*Параметры!$C$10/12</f>
        <v>937637.67678761308</v>
      </c>
      <c r="N81" s="9">
        <f t="shared" si="21"/>
        <v>1759728.9860410364</v>
      </c>
      <c r="O81" s="9">
        <f>MAX(0,N81*Параметры!$C$14)</f>
        <v>351945.79720820731</v>
      </c>
      <c r="P81" s="9">
        <f t="shared" si="22"/>
        <v>1407783.1888328292</v>
      </c>
      <c r="Q81" s="9">
        <v>0</v>
      </c>
      <c r="R81" s="9">
        <v>0</v>
      </c>
      <c r="S81" s="9">
        <f>MAX(0,MIN(Параметры!$C$26-M81,T80))</f>
        <v>217584.81831747282</v>
      </c>
      <c r="T81" s="9">
        <f t="shared" si="23"/>
        <v>56040675.788939312</v>
      </c>
      <c r="U81" s="9">
        <f t="shared" si="24"/>
        <v>585158.17328736093</v>
      </c>
      <c r="V81" s="9">
        <f t="shared" si="17"/>
        <v>-3228934.9407461267</v>
      </c>
    </row>
    <row r="82" spans="1:22" x14ac:dyDescent="0.25">
      <c r="A82" s="11">
        <v>81</v>
      </c>
      <c r="B82" s="11" t="s">
        <v>143</v>
      </c>
      <c r="C82" s="12" t="s">
        <v>75</v>
      </c>
      <c r="D82" s="13">
        <f>Параметры!$C$4*Параметры!$C$7*(1+Параметры!$C$8)^INT((A82-Параметры!$C$11-1)/12)</f>
        <v>4302192.608870401</v>
      </c>
      <c r="E82" s="13">
        <f>D82/(1+Параметры!$C$13)</f>
        <v>3526387.3843200011</v>
      </c>
      <c r="F82" s="13">
        <f t="shared" si="18"/>
        <v>775805.22455039993</v>
      </c>
      <c r="G82" s="13">
        <f>IF(AND(A82&gt;Параметры!$C$11,A82&lt;=Параметры!$C$11+3),Параметры!$C$28,0)</f>
        <v>0</v>
      </c>
      <c r="H82" s="13">
        <f t="shared" si="19"/>
        <v>775805.22455039993</v>
      </c>
      <c r="I82" s="13">
        <f>E82*Параметры!$C$16</f>
        <v>528958.10764800012</v>
      </c>
      <c r="J82" s="13">
        <f>Параметры!$C$27</f>
        <v>170765.02732240438</v>
      </c>
      <c r="K82" s="13">
        <f>MAX(0,Параметры!$C$20-Параметры!$C$27*MAX(0,A82-Параметры!$C$11-1))*Параметры!$C$15/12</f>
        <v>128984.51730418943</v>
      </c>
      <c r="L82" s="13">
        <f t="shared" si="20"/>
        <v>2697679.7320454069</v>
      </c>
      <c r="M82" s="13">
        <f>T81*Параметры!$C$10/12</f>
        <v>934011.2631489886</v>
      </c>
      <c r="N82" s="13">
        <f t="shared" si="21"/>
        <v>1763668.4688964183</v>
      </c>
      <c r="O82" s="13">
        <f>MAX(0,N82*Параметры!$C$14)</f>
        <v>352733.69377928367</v>
      </c>
      <c r="P82" s="13">
        <f t="shared" si="22"/>
        <v>1410934.7751171347</v>
      </c>
      <c r="Q82" s="13">
        <v>0</v>
      </c>
      <c r="R82" s="13">
        <v>0</v>
      </c>
      <c r="S82" s="13">
        <f>MAX(0,MIN(Параметры!$C$26-M82,T81))</f>
        <v>221211.2319560973</v>
      </c>
      <c r="T82" s="13">
        <f t="shared" si="23"/>
        <v>55819464.556983218</v>
      </c>
      <c r="U82" s="13">
        <f t="shared" si="24"/>
        <v>584683.34593304177</v>
      </c>
      <c r="V82" s="13">
        <f t="shared" si="17"/>
        <v>-2644251.5948130852</v>
      </c>
    </row>
    <row r="83" spans="1:22" x14ac:dyDescent="0.25">
      <c r="A83" s="14">
        <v>82</v>
      </c>
      <c r="B83" s="14" t="s">
        <v>144</v>
      </c>
      <c r="C83" s="15" t="s">
        <v>75</v>
      </c>
      <c r="D83" s="9">
        <f>Параметры!$C$4*Параметры!$C$7*(1+Параметры!$C$8)^INT((A83-Параметры!$C$11-1)/12)</f>
        <v>4302192.608870401</v>
      </c>
      <c r="E83" s="9">
        <f>D83/(1+Параметры!$C$13)</f>
        <v>3526387.3843200011</v>
      </c>
      <c r="F83" s="9">
        <f t="shared" si="18"/>
        <v>775805.22455039993</v>
      </c>
      <c r="G83" s="9">
        <f>IF(AND(A83&gt;Параметры!$C$11,A83&lt;=Параметры!$C$11+3),Параметры!$C$28,0)</f>
        <v>0</v>
      </c>
      <c r="H83" s="9">
        <f t="shared" si="19"/>
        <v>775805.22455039993</v>
      </c>
      <c r="I83" s="9">
        <f>E83*Параметры!$C$16</f>
        <v>528958.10764800012</v>
      </c>
      <c r="J83" s="9">
        <f>Параметры!$C$27</f>
        <v>170765.02732240438</v>
      </c>
      <c r="K83" s="9">
        <f>MAX(0,Параметры!$C$20-Параметры!$C$27*MAX(0,A83-Параметры!$C$11-1))*Параметры!$C$15/12</f>
        <v>128671.44808743168</v>
      </c>
      <c r="L83" s="9">
        <f t="shared" si="20"/>
        <v>2697992.801262165</v>
      </c>
      <c r="M83" s="9">
        <f>T82*Параметры!$C$10/12</f>
        <v>930324.40928305371</v>
      </c>
      <c r="N83" s="9">
        <f t="shared" si="21"/>
        <v>1767668.3919791114</v>
      </c>
      <c r="O83" s="9">
        <f>MAX(0,N83*Параметры!$C$14)</f>
        <v>353533.67839582229</v>
      </c>
      <c r="P83" s="9">
        <f t="shared" si="22"/>
        <v>1414134.7135832892</v>
      </c>
      <c r="Q83" s="9">
        <v>0</v>
      </c>
      <c r="R83" s="9">
        <v>0</v>
      </c>
      <c r="S83" s="9">
        <f>MAX(0,MIN(Параметры!$C$26-M83,T82))</f>
        <v>224898.08582203218</v>
      </c>
      <c r="T83" s="9">
        <f t="shared" si="23"/>
        <v>55594566.471161187</v>
      </c>
      <c r="U83" s="9">
        <f t="shared" si="24"/>
        <v>584196.4305332615</v>
      </c>
      <c r="V83" s="9">
        <f t="shared" si="17"/>
        <v>-2060055.1642798237</v>
      </c>
    </row>
    <row r="84" spans="1:22" x14ac:dyDescent="0.25">
      <c r="A84" s="11">
        <v>83</v>
      </c>
      <c r="B84" s="11" t="s">
        <v>145</v>
      </c>
      <c r="C84" s="12" t="s">
        <v>75</v>
      </c>
      <c r="D84" s="13">
        <f>Параметры!$C$4*Параметры!$C$7*(1+Параметры!$C$8)^INT((A84-Параметры!$C$11-1)/12)</f>
        <v>4302192.608870401</v>
      </c>
      <c r="E84" s="13">
        <f>D84/(1+Параметры!$C$13)</f>
        <v>3526387.3843200011</v>
      </c>
      <c r="F84" s="13">
        <f t="shared" si="18"/>
        <v>775805.22455039993</v>
      </c>
      <c r="G84" s="13">
        <f>IF(AND(A84&gt;Параметры!$C$11,A84&lt;=Параметры!$C$11+3),Параметры!$C$28,0)</f>
        <v>0</v>
      </c>
      <c r="H84" s="13">
        <f t="shared" si="19"/>
        <v>775805.22455039993</v>
      </c>
      <c r="I84" s="13">
        <f>E84*Параметры!$C$16</f>
        <v>528958.10764800012</v>
      </c>
      <c r="J84" s="13">
        <f>Параметры!$C$27</f>
        <v>170765.02732240438</v>
      </c>
      <c r="K84" s="13">
        <f>MAX(0,Параметры!$C$20-Параметры!$C$27*MAX(0,A84-Параметры!$C$11-1))*Параметры!$C$15/12</f>
        <v>128358.37887067394</v>
      </c>
      <c r="L84" s="13">
        <f t="shared" si="20"/>
        <v>2698305.8704789225</v>
      </c>
      <c r="M84" s="13">
        <f>T83*Параметры!$C$10/12</f>
        <v>926576.10785268655</v>
      </c>
      <c r="N84" s="13">
        <f t="shared" si="21"/>
        <v>1771729.7626262358</v>
      </c>
      <c r="O84" s="13">
        <f>MAX(0,N84*Параметры!$C$14)</f>
        <v>354345.95252524718</v>
      </c>
      <c r="P84" s="13">
        <f t="shared" si="22"/>
        <v>1417383.8101009887</v>
      </c>
      <c r="Q84" s="13">
        <v>0</v>
      </c>
      <c r="R84" s="13">
        <v>0</v>
      </c>
      <c r="S84" s="13">
        <f>MAX(0,MIN(Параметры!$C$26-M84,T83))</f>
        <v>228646.38725239935</v>
      </c>
      <c r="T84" s="13">
        <f t="shared" si="23"/>
        <v>55365920.083908789</v>
      </c>
      <c r="U84" s="13">
        <f t="shared" si="24"/>
        <v>583697.22562059388</v>
      </c>
      <c r="V84" s="13">
        <f t="shared" si="17"/>
        <v>-1476357.9386592298</v>
      </c>
    </row>
    <row r="85" spans="1:22" x14ac:dyDescent="0.25">
      <c r="A85" s="14">
        <v>84</v>
      </c>
      <c r="B85" s="14" t="s">
        <v>146</v>
      </c>
      <c r="C85" s="15" t="s">
        <v>75</v>
      </c>
      <c r="D85" s="9">
        <f>Параметры!$C$4*Параметры!$C$7*(1+Параметры!$C$8)^INT((A85-Параметры!$C$11-1)/12)</f>
        <v>4302192.608870401</v>
      </c>
      <c r="E85" s="9">
        <f>D85/(1+Параметры!$C$13)</f>
        <v>3526387.3843200011</v>
      </c>
      <c r="F85" s="9">
        <f t="shared" si="18"/>
        <v>775805.22455039993</v>
      </c>
      <c r="G85" s="9">
        <f>IF(AND(A85&gt;Параметры!$C$11,A85&lt;=Параметры!$C$11+3),Параметры!$C$28,0)</f>
        <v>0</v>
      </c>
      <c r="H85" s="9">
        <f t="shared" si="19"/>
        <v>775805.22455039993</v>
      </c>
      <c r="I85" s="9">
        <f>E85*Параметры!$C$16</f>
        <v>528958.10764800012</v>
      </c>
      <c r="J85" s="9">
        <f>Параметры!$C$27</f>
        <v>170765.02732240438</v>
      </c>
      <c r="K85" s="9">
        <f>MAX(0,Параметры!$C$20-Параметры!$C$27*MAX(0,A85-Параметры!$C$11-1))*Параметры!$C$15/12</f>
        <v>128045.30965391621</v>
      </c>
      <c r="L85" s="9">
        <f t="shared" si="20"/>
        <v>2698618.93969568</v>
      </c>
      <c r="M85" s="9">
        <f>T84*Параметры!$C$10/12</f>
        <v>922765.33473181317</v>
      </c>
      <c r="N85" s="9">
        <f t="shared" si="21"/>
        <v>1775853.604963867</v>
      </c>
      <c r="O85" s="9">
        <f>MAX(0,N85*Параметры!$C$14)</f>
        <v>355170.72099277342</v>
      </c>
      <c r="P85" s="9">
        <f t="shared" si="22"/>
        <v>1420682.8839710937</v>
      </c>
      <c r="Q85" s="9">
        <v>0</v>
      </c>
      <c r="R85" s="9">
        <v>0</v>
      </c>
      <c r="S85" s="9">
        <f>MAX(0,MIN(Параметры!$C$26-M85,T84))</f>
        <v>232457.16037327272</v>
      </c>
      <c r="T85" s="9">
        <f t="shared" si="23"/>
        <v>55133462.923535518</v>
      </c>
      <c r="U85" s="9">
        <f t="shared" si="24"/>
        <v>583185.52636982547</v>
      </c>
      <c r="V85" s="9">
        <f t="shared" si="17"/>
        <v>-893172.41228940431</v>
      </c>
    </row>
    <row r="86" spans="1:22" x14ac:dyDescent="0.25">
      <c r="A86" s="11">
        <v>85</v>
      </c>
      <c r="B86" s="11" t="s">
        <v>147</v>
      </c>
      <c r="C86" s="12" t="s">
        <v>75</v>
      </c>
      <c r="D86" s="13">
        <f>Параметры!$C$4*Параметры!$C$7*(1+Параметры!$C$8)^INT((A86-Параметры!$C$11-1)/12)</f>
        <v>4646368.0175800333</v>
      </c>
      <c r="E86" s="13">
        <f>D86/(1+Параметры!$C$13)</f>
        <v>3808498.375065601</v>
      </c>
      <c r="F86" s="13">
        <f t="shared" si="18"/>
        <v>837869.64251443231</v>
      </c>
      <c r="G86" s="13">
        <f>IF(AND(A86&gt;Параметры!$C$11,A86&lt;=Параметры!$C$11+3),Параметры!$C$28,0)</f>
        <v>0</v>
      </c>
      <c r="H86" s="13">
        <f t="shared" si="19"/>
        <v>837869.64251443231</v>
      </c>
      <c r="I86" s="13">
        <f>E86*Параметры!$C$16</f>
        <v>571274.7562598401</v>
      </c>
      <c r="J86" s="13">
        <f>Параметры!$C$27</f>
        <v>170765.02732240438</v>
      </c>
      <c r="K86" s="13">
        <f>MAX(0,Параметры!$C$20-Параметры!$C$27*MAX(0,A86-Параметры!$C$11-1))*Параметры!$C$15/12</f>
        <v>127732.24043715846</v>
      </c>
      <c r="L86" s="13">
        <f t="shared" si="20"/>
        <v>2938726.351046198</v>
      </c>
      <c r="M86" s="13">
        <f>T85*Параметры!$C$10/12</f>
        <v>918891.04872559197</v>
      </c>
      <c r="N86" s="13">
        <f t="shared" si="21"/>
        <v>2019835.3023206061</v>
      </c>
      <c r="O86" s="13">
        <f>MAX(0,N86*Параметры!$C$14)</f>
        <v>403967.06046412123</v>
      </c>
      <c r="P86" s="13">
        <f t="shared" si="22"/>
        <v>1615868.2418564849</v>
      </c>
      <c r="Q86" s="13">
        <v>0</v>
      </c>
      <c r="R86" s="13">
        <v>0</v>
      </c>
      <c r="S86" s="13">
        <f>MAX(0,MIN(Параметры!$C$26-M86,T85))</f>
        <v>236331.44637949392</v>
      </c>
      <c r="T86" s="13">
        <f t="shared" si="23"/>
        <v>54897131.477156028</v>
      </c>
      <c r="U86" s="13">
        <f t="shared" si="24"/>
        <v>712432.18028496299</v>
      </c>
      <c r="V86" s="13">
        <f t="shared" si="17"/>
        <v>-180740.23200444132</v>
      </c>
    </row>
    <row r="87" spans="1:22" x14ac:dyDescent="0.25">
      <c r="A87" s="14">
        <v>86</v>
      </c>
      <c r="B87" s="14" t="s">
        <v>148</v>
      </c>
      <c r="C87" s="15" t="s">
        <v>75</v>
      </c>
      <c r="D87" s="9">
        <f>Параметры!$C$4*Параметры!$C$7*(1+Параметры!$C$8)^INT((A87-Параметры!$C$11-1)/12)</f>
        <v>4646368.0175800333</v>
      </c>
      <c r="E87" s="9">
        <f>D87/(1+Параметры!$C$13)</f>
        <v>3808498.375065601</v>
      </c>
      <c r="F87" s="9">
        <f t="shared" si="18"/>
        <v>837869.64251443231</v>
      </c>
      <c r="G87" s="9">
        <f>IF(AND(A87&gt;Параметры!$C$11,A87&lt;=Параметры!$C$11+3),Параметры!$C$28,0)</f>
        <v>0</v>
      </c>
      <c r="H87" s="9">
        <f t="shared" si="19"/>
        <v>837869.64251443231</v>
      </c>
      <c r="I87" s="9">
        <f>E87*Параметры!$C$16</f>
        <v>571274.7562598401</v>
      </c>
      <c r="J87" s="9">
        <f>Параметры!$C$27</f>
        <v>170765.02732240438</v>
      </c>
      <c r="K87" s="9">
        <f>MAX(0,Параметры!$C$20-Параметры!$C$27*MAX(0,A87-Параметры!$C$11-1))*Параметры!$C$15/12</f>
        <v>127419.17122040072</v>
      </c>
      <c r="L87" s="9">
        <f t="shared" si="20"/>
        <v>2939039.4202629556</v>
      </c>
      <c r="M87" s="9">
        <f>T86*Параметры!$C$10/12</f>
        <v>914952.19128593383</v>
      </c>
      <c r="N87" s="9">
        <f t="shared" si="21"/>
        <v>2024087.2289770218</v>
      </c>
      <c r="O87" s="9">
        <f>MAX(0,N87*Параметры!$C$14)</f>
        <v>404817.44579540438</v>
      </c>
      <c r="P87" s="9">
        <f t="shared" si="22"/>
        <v>1619269.7831816175</v>
      </c>
      <c r="Q87" s="9">
        <v>0</v>
      </c>
      <c r="R87" s="9">
        <v>0</v>
      </c>
      <c r="S87" s="9">
        <f>MAX(0,MIN(Параметры!$C$26-M87,T86))</f>
        <v>240270.30381915206</v>
      </c>
      <c r="T87" s="9">
        <f t="shared" si="23"/>
        <v>54656861.173336878</v>
      </c>
      <c r="U87" s="9">
        <f t="shared" si="24"/>
        <v>711894.86417043745</v>
      </c>
      <c r="V87" s="9">
        <f t="shared" si="17"/>
        <v>531154.63216599612</v>
      </c>
    </row>
    <row r="88" spans="1:22" x14ac:dyDescent="0.25">
      <c r="A88" s="11">
        <v>87</v>
      </c>
      <c r="B88" s="11" t="s">
        <v>149</v>
      </c>
      <c r="C88" s="12" t="s">
        <v>75</v>
      </c>
      <c r="D88" s="13">
        <f>Параметры!$C$4*Параметры!$C$7*(1+Параметры!$C$8)^INT((A88-Параметры!$C$11-1)/12)</f>
        <v>4646368.0175800333</v>
      </c>
      <c r="E88" s="13">
        <f>D88/(1+Параметры!$C$13)</f>
        <v>3808498.375065601</v>
      </c>
      <c r="F88" s="13">
        <f t="shared" si="18"/>
        <v>837869.64251443231</v>
      </c>
      <c r="G88" s="13">
        <f>IF(AND(A88&gt;Параметры!$C$11,A88&lt;=Параметры!$C$11+3),Параметры!$C$28,0)</f>
        <v>0</v>
      </c>
      <c r="H88" s="13">
        <f t="shared" si="19"/>
        <v>837869.64251443231</v>
      </c>
      <c r="I88" s="13">
        <f>E88*Параметры!$C$16</f>
        <v>571274.7562598401</v>
      </c>
      <c r="J88" s="13">
        <f>Параметры!$C$27</f>
        <v>170765.02732240438</v>
      </c>
      <c r="K88" s="13">
        <f>MAX(0,Параметры!$C$20-Параметры!$C$27*MAX(0,A88-Параметры!$C$11-1))*Параметры!$C$15/12</f>
        <v>127106.10200364295</v>
      </c>
      <c r="L88" s="13">
        <f t="shared" si="20"/>
        <v>2939352.4894797136</v>
      </c>
      <c r="M88" s="13">
        <f>T87*Параметры!$C$10/12</f>
        <v>910947.68622228131</v>
      </c>
      <c r="N88" s="13">
        <f t="shared" si="21"/>
        <v>2028404.8032574323</v>
      </c>
      <c r="O88" s="13">
        <f>MAX(0,N88*Параметры!$C$14)</f>
        <v>405680.96065148647</v>
      </c>
      <c r="P88" s="13">
        <f t="shared" si="22"/>
        <v>1622723.8426059459</v>
      </c>
      <c r="Q88" s="13">
        <v>0</v>
      </c>
      <c r="R88" s="13">
        <v>0</v>
      </c>
      <c r="S88" s="13">
        <f>MAX(0,MIN(Параметры!$C$26-M88,T87))</f>
        <v>244274.80888280459</v>
      </c>
      <c r="T88" s="13">
        <f t="shared" si="23"/>
        <v>54412586.364454076</v>
      </c>
      <c r="U88" s="13">
        <f t="shared" si="24"/>
        <v>711344.4185311133</v>
      </c>
      <c r="V88" s="13">
        <f t="shared" si="17"/>
        <v>1242499.0506971094</v>
      </c>
    </row>
    <row r="89" spans="1:22" x14ac:dyDescent="0.25">
      <c r="A89" s="14">
        <v>88</v>
      </c>
      <c r="B89" s="14" t="s">
        <v>150</v>
      </c>
      <c r="C89" s="15" t="s">
        <v>75</v>
      </c>
      <c r="D89" s="9">
        <f>Параметры!$C$4*Параметры!$C$7*(1+Параметры!$C$8)^INT((A89-Параметры!$C$11-1)/12)</f>
        <v>4646368.0175800333</v>
      </c>
      <c r="E89" s="9">
        <f>D89/(1+Параметры!$C$13)</f>
        <v>3808498.375065601</v>
      </c>
      <c r="F89" s="9">
        <f t="shared" si="18"/>
        <v>837869.64251443231</v>
      </c>
      <c r="G89" s="9">
        <f>IF(AND(A89&gt;Параметры!$C$11,A89&lt;=Параметры!$C$11+3),Параметры!$C$28,0)</f>
        <v>0</v>
      </c>
      <c r="H89" s="9">
        <f t="shared" si="19"/>
        <v>837869.64251443231</v>
      </c>
      <c r="I89" s="9">
        <f>E89*Параметры!$C$16</f>
        <v>571274.7562598401</v>
      </c>
      <c r="J89" s="9">
        <f>Параметры!$C$27</f>
        <v>170765.02732240438</v>
      </c>
      <c r="K89" s="9">
        <f>MAX(0,Параметры!$C$20-Параметры!$C$27*MAX(0,A89-Параметры!$C$11-1))*Параметры!$C$15/12</f>
        <v>126793.03278688523</v>
      </c>
      <c r="L89" s="9">
        <f t="shared" si="20"/>
        <v>2939665.5586964712</v>
      </c>
      <c r="M89" s="9">
        <f>T88*Параметры!$C$10/12</f>
        <v>906876.43940756796</v>
      </c>
      <c r="N89" s="9">
        <f t="shared" si="21"/>
        <v>2032789.1192889032</v>
      </c>
      <c r="O89" s="9">
        <f>MAX(0,N89*Параметры!$C$14)</f>
        <v>406557.82385778066</v>
      </c>
      <c r="P89" s="9">
        <f t="shared" si="22"/>
        <v>1626231.2954311226</v>
      </c>
      <c r="Q89" s="9">
        <v>0</v>
      </c>
      <c r="R89" s="9">
        <v>0</v>
      </c>
      <c r="S89" s="9">
        <f>MAX(0,MIN(Параметры!$C$26-M89,T88))</f>
        <v>248346.05569751794</v>
      </c>
      <c r="T89" s="9">
        <f t="shared" si="23"/>
        <v>54164240.30875656</v>
      </c>
      <c r="U89" s="9">
        <f t="shared" si="24"/>
        <v>710780.62454157672</v>
      </c>
      <c r="V89" s="9">
        <f t="shared" si="17"/>
        <v>1953279.6752386861</v>
      </c>
    </row>
    <row r="90" spans="1:22" x14ac:dyDescent="0.25">
      <c r="A90" s="11">
        <v>89</v>
      </c>
      <c r="B90" s="11" t="s">
        <v>151</v>
      </c>
      <c r="C90" s="12" t="s">
        <v>75</v>
      </c>
      <c r="D90" s="13">
        <f>Параметры!$C$4*Параметры!$C$7*(1+Параметры!$C$8)^INT((A90-Параметры!$C$11-1)/12)</f>
        <v>4646368.0175800333</v>
      </c>
      <c r="E90" s="13">
        <f>D90/(1+Параметры!$C$13)</f>
        <v>3808498.375065601</v>
      </c>
      <c r="F90" s="13">
        <f t="shared" si="18"/>
        <v>837869.64251443231</v>
      </c>
      <c r="G90" s="13">
        <f>IF(AND(A90&gt;Параметры!$C$11,A90&lt;=Параметры!$C$11+3),Параметры!$C$28,0)</f>
        <v>0</v>
      </c>
      <c r="H90" s="13">
        <f t="shared" si="19"/>
        <v>837869.64251443231</v>
      </c>
      <c r="I90" s="13">
        <f>E90*Параметры!$C$16</f>
        <v>571274.7562598401</v>
      </c>
      <c r="J90" s="13">
        <f>Параметры!$C$27</f>
        <v>170765.02732240438</v>
      </c>
      <c r="K90" s="13">
        <f>MAX(0,Параметры!$C$20-Параметры!$C$27*MAX(0,A90-Параметры!$C$11-1))*Параметры!$C$15/12</f>
        <v>126479.9635701275</v>
      </c>
      <c r="L90" s="13">
        <f t="shared" si="20"/>
        <v>2939978.6279132292</v>
      </c>
      <c r="M90" s="13">
        <f>T89*Параметры!$C$10/12</f>
        <v>902737.33847927616</v>
      </c>
      <c r="N90" s="13">
        <f t="shared" si="21"/>
        <v>2037241.2894339529</v>
      </c>
      <c r="O90" s="13">
        <f>MAX(0,N90*Параметры!$C$14)</f>
        <v>407448.25788679061</v>
      </c>
      <c r="P90" s="13">
        <f t="shared" si="22"/>
        <v>1629793.0315471622</v>
      </c>
      <c r="Q90" s="13">
        <v>0</v>
      </c>
      <c r="R90" s="13">
        <v>0</v>
      </c>
      <c r="S90" s="13">
        <f>MAX(0,MIN(Параметры!$C$26-M90,T89))</f>
        <v>252485.15662580973</v>
      </c>
      <c r="T90" s="13">
        <f t="shared" si="23"/>
        <v>53911755.152130753</v>
      </c>
      <c r="U90" s="13">
        <f t="shared" si="24"/>
        <v>710203.25972932437</v>
      </c>
      <c r="V90" s="13">
        <f t="shared" si="17"/>
        <v>2663482.9349680105</v>
      </c>
    </row>
    <row r="91" spans="1:22" x14ac:dyDescent="0.25">
      <c r="A91" s="14">
        <v>90</v>
      </c>
      <c r="B91" s="14" t="s">
        <v>152</v>
      </c>
      <c r="C91" s="15" t="s">
        <v>75</v>
      </c>
      <c r="D91" s="9">
        <f>Параметры!$C$4*Параметры!$C$7*(1+Параметры!$C$8)^INT((A91-Параметры!$C$11-1)/12)</f>
        <v>4646368.0175800333</v>
      </c>
      <c r="E91" s="9">
        <f>D91/(1+Параметры!$C$13)</f>
        <v>3808498.375065601</v>
      </c>
      <c r="F91" s="9">
        <f t="shared" si="18"/>
        <v>837869.64251443231</v>
      </c>
      <c r="G91" s="9">
        <f>IF(AND(A91&gt;Параметры!$C$11,A91&lt;=Параметры!$C$11+3),Параметры!$C$28,0)</f>
        <v>0</v>
      </c>
      <c r="H91" s="9">
        <f t="shared" si="19"/>
        <v>837869.64251443231</v>
      </c>
      <c r="I91" s="9">
        <f>E91*Параметры!$C$16</f>
        <v>571274.7562598401</v>
      </c>
      <c r="J91" s="9">
        <f>Параметры!$C$27</f>
        <v>170765.02732240438</v>
      </c>
      <c r="K91" s="9">
        <f>MAX(0,Параметры!$C$20-Параметры!$C$27*MAX(0,A91-Параметры!$C$11-1))*Параметры!$C$15/12</f>
        <v>126166.89435336976</v>
      </c>
      <c r="L91" s="9">
        <f t="shared" si="20"/>
        <v>2940291.6971299867</v>
      </c>
      <c r="M91" s="9">
        <f>T90*Параметры!$C$10/12</f>
        <v>898529.25253551267</v>
      </c>
      <c r="N91" s="9">
        <f t="shared" si="21"/>
        <v>2041762.444594474</v>
      </c>
      <c r="O91" s="9">
        <f>MAX(0,N91*Параметры!$C$14)</f>
        <v>408352.48891889484</v>
      </c>
      <c r="P91" s="9">
        <f t="shared" si="22"/>
        <v>1633409.9556755791</v>
      </c>
      <c r="Q91" s="9">
        <v>0</v>
      </c>
      <c r="R91" s="9">
        <v>0</v>
      </c>
      <c r="S91" s="9">
        <f>MAX(0,MIN(Параметры!$C$26-M91,T90))</f>
        <v>256693.24256957322</v>
      </c>
      <c r="T91" s="9">
        <f t="shared" si="23"/>
        <v>53655061.90956118</v>
      </c>
      <c r="U91" s="9">
        <f t="shared" si="24"/>
        <v>709612.09791397792</v>
      </c>
      <c r="V91" s="9">
        <f t="shared" si="17"/>
        <v>3373095.0328819882</v>
      </c>
    </row>
    <row r="92" spans="1:22" x14ac:dyDescent="0.25">
      <c r="A92" s="11">
        <v>91</v>
      </c>
      <c r="B92" s="11" t="s">
        <v>153</v>
      </c>
      <c r="C92" s="12" t="s">
        <v>75</v>
      </c>
      <c r="D92" s="13">
        <f>Параметры!$C$4*Параметры!$C$7*(1+Параметры!$C$8)^INT((A92-Параметры!$C$11-1)/12)</f>
        <v>4646368.0175800333</v>
      </c>
      <c r="E92" s="13">
        <f>D92/(1+Параметры!$C$13)</f>
        <v>3808498.375065601</v>
      </c>
      <c r="F92" s="13">
        <f t="shared" si="18"/>
        <v>837869.64251443231</v>
      </c>
      <c r="G92" s="13">
        <f>IF(AND(A92&gt;Параметры!$C$11,A92&lt;=Параметры!$C$11+3),Параметры!$C$28,0)</f>
        <v>0</v>
      </c>
      <c r="H92" s="13">
        <f t="shared" si="19"/>
        <v>837869.64251443231</v>
      </c>
      <c r="I92" s="13">
        <f>E92*Параметры!$C$16</f>
        <v>571274.7562598401</v>
      </c>
      <c r="J92" s="13">
        <f>Параметры!$C$27</f>
        <v>170765.02732240438</v>
      </c>
      <c r="K92" s="13">
        <f>MAX(0,Параметры!$C$20-Параметры!$C$27*MAX(0,A92-Параметры!$C$11-1))*Параметры!$C$15/12</f>
        <v>125853.82513661199</v>
      </c>
      <c r="L92" s="13">
        <f t="shared" si="20"/>
        <v>2940604.7663467443</v>
      </c>
      <c r="M92" s="13">
        <f>T91*Параметры!$C$10/12</f>
        <v>894251.03182601975</v>
      </c>
      <c r="N92" s="13">
        <f t="shared" si="21"/>
        <v>2046353.7345207245</v>
      </c>
      <c r="O92" s="13">
        <f>MAX(0,N92*Параметры!$C$14)</f>
        <v>409270.74690414494</v>
      </c>
      <c r="P92" s="13">
        <f t="shared" si="22"/>
        <v>1637082.9876165795</v>
      </c>
      <c r="Q92" s="13">
        <v>0</v>
      </c>
      <c r="R92" s="13">
        <v>0</v>
      </c>
      <c r="S92" s="13">
        <f>MAX(0,MIN(Параметры!$C$26-M92,T91))</f>
        <v>260971.46327906614</v>
      </c>
      <c r="T92" s="13">
        <f t="shared" si="23"/>
        <v>53394090.446282111</v>
      </c>
      <c r="U92" s="13">
        <f t="shared" si="24"/>
        <v>709006.90914548538</v>
      </c>
      <c r="V92" s="13">
        <f t="shared" si="17"/>
        <v>4082101.9420274738</v>
      </c>
    </row>
    <row r="93" spans="1:22" x14ac:dyDescent="0.25">
      <c r="A93" s="14">
        <v>92</v>
      </c>
      <c r="B93" s="14" t="s">
        <v>154</v>
      </c>
      <c r="C93" s="15" t="s">
        <v>75</v>
      </c>
      <c r="D93" s="9">
        <f>Параметры!$C$4*Параметры!$C$7*(1+Параметры!$C$8)^INT((A93-Параметры!$C$11-1)/12)</f>
        <v>4646368.0175800333</v>
      </c>
      <c r="E93" s="9">
        <f>D93/(1+Параметры!$C$13)</f>
        <v>3808498.375065601</v>
      </c>
      <c r="F93" s="9">
        <f t="shared" si="18"/>
        <v>837869.64251443231</v>
      </c>
      <c r="G93" s="9">
        <f>IF(AND(A93&gt;Параметры!$C$11,A93&lt;=Параметры!$C$11+3),Параметры!$C$28,0)</f>
        <v>0</v>
      </c>
      <c r="H93" s="9">
        <f t="shared" si="19"/>
        <v>837869.64251443231</v>
      </c>
      <c r="I93" s="9">
        <f>E93*Параметры!$C$16</f>
        <v>571274.7562598401</v>
      </c>
      <c r="J93" s="9">
        <f>Параметры!$C$27</f>
        <v>170765.02732240438</v>
      </c>
      <c r="K93" s="9">
        <f>MAX(0,Параметры!$C$20-Параметры!$C$27*MAX(0,A93-Параметры!$C$11-1))*Параметры!$C$15/12</f>
        <v>125540.75591985427</v>
      </c>
      <c r="L93" s="9">
        <f t="shared" si="20"/>
        <v>2940917.8355635023</v>
      </c>
      <c r="M93" s="9">
        <f>T92*Параметры!$C$10/12</f>
        <v>889901.50743803522</v>
      </c>
      <c r="N93" s="9">
        <f t="shared" si="21"/>
        <v>2051016.3281254671</v>
      </c>
      <c r="O93" s="9">
        <f>MAX(0,N93*Параметры!$C$14)</f>
        <v>410203.26562509342</v>
      </c>
      <c r="P93" s="9">
        <f t="shared" si="22"/>
        <v>1640813.0625003737</v>
      </c>
      <c r="Q93" s="9">
        <v>0</v>
      </c>
      <c r="R93" s="9">
        <v>0</v>
      </c>
      <c r="S93" s="9">
        <f>MAX(0,MIN(Параметры!$C$26-M93,T92))</f>
        <v>265320.98766705068</v>
      </c>
      <c r="T93" s="9">
        <f t="shared" si="23"/>
        <v>53128769.458615057</v>
      </c>
      <c r="U93" s="9">
        <f t="shared" si="24"/>
        <v>708387.45964129502</v>
      </c>
      <c r="V93" s="9">
        <f t="shared" si="17"/>
        <v>4790489.4016687684</v>
      </c>
    </row>
    <row r="94" spans="1:22" x14ac:dyDescent="0.25">
      <c r="A94" s="11">
        <v>93</v>
      </c>
      <c r="B94" s="11" t="s">
        <v>155</v>
      </c>
      <c r="C94" s="12" t="s">
        <v>75</v>
      </c>
      <c r="D94" s="13">
        <f>Параметры!$C$4*Параметры!$C$7*(1+Параметры!$C$8)^INT((A94-Параметры!$C$11-1)/12)</f>
        <v>4646368.0175800333</v>
      </c>
      <c r="E94" s="13">
        <f>D94/(1+Параметры!$C$13)</f>
        <v>3808498.375065601</v>
      </c>
      <c r="F94" s="13">
        <f t="shared" si="18"/>
        <v>837869.64251443231</v>
      </c>
      <c r="G94" s="13">
        <f>IF(AND(A94&gt;Параметры!$C$11,A94&lt;=Параметры!$C$11+3),Параметры!$C$28,0)</f>
        <v>0</v>
      </c>
      <c r="H94" s="13">
        <f t="shared" si="19"/>
        <v>837869.64251443231</v>
      </c>
      <c r="I94" s="13">
        <f>E94*Параметры!$C$16</f>
        <v>571274.7562598401</v>
      </c>
      <c r="J94" s="13">
        <f>Параметры!$C$27</f>
        <v>170765.02732240438</v>
      </c>
      <c r="K94" s="13">
        <f>MAX(0,Параметры!$C$20-Параметры!$C$27*MAX(0,A94-Параметры!$C$11-1))*Параметры!$C$15/12</f>
        <v>125227.68670309654</v>
      </c>
      <c r="L94" s="13">
        <f t="shared" si="20"/>
        <v>2941230.9047802598</v>
      </c>
      <c r="M94" s="13">
        <f>T93*Параметры!$C$10/12</f>
        <v>885479.49097691767</v>
      </c>
      <c r="N94" s="13">
        <f t="shared" si="21"/>
        <v>2055751.4138033423</v>
      </c>
      <c r="O94" s="13">
        <f>MAX(0,N94*Параметры!$C$14)</f>
        <v>411150.28276066849</v>
      </c>
      <c r="P94" s="13">
        <f t="shared" si="22"/>
        <v>1644601.1310426737</v>
      </c>
      <c r="Q94" s="13">
        <v>0</v>
      </c>
      <c r="R94" s="13">
        <v>0</v>
      </c>
      <c r="S94" s="13">
        <f>MAX(0,MIN(Параметры!$C$26-M94,T93))</f>
        <v>269743.00412816822</v>
      </c>
      <c r="T94" s="13">
        <f t="shared" si="23"/>
        <v>52859026.454486892</v>
      </c>
      <c r="U94" s="13">
        <f t="shared" si="24"/>
        <v>707753.51172247762</v>
      </c>
      <c r="V94" s="13">
        <f t="shared" si="17"/>
        <v>5498242.9133912455</v>
      </c>
    </row>
    <row r="95" spans="1:22" x14ac:dyDescent="0.25">
      <c r="A95" s="14">
        <v>94</v>
      </c>
      <c r="B95" s="14" t="s">
        <v>156</v>
      </c>
      <c r="C95" s="15" t="s">
        <v>75</v>
      </c>
      <c r="D95" s="9">
        <f>Параметры!$C$4*Параметры!$C$7*(1+Параметры!$C$8)^INT((A95-Параметры!$C$11-1)/12)</f>
        <v>4646368.0175800333</v>
      </c>
      <c r="E95" s="9">
        <f>D95/(1+Параметры!$C$13)</f>
        <v>3808498.375065601</v>
      </c>
      <c r="F95" s="9">
        <f t="shared" si="18"/>
        <v>837869.64251443231</v>
      </c>
      <c r="G95" s="9">
        <f>IF(AND(A95&gt;Параметры!$C$11,A95&lt;=Параметры!$C$11+3),Параметры!$C$28,0)</f>
        <v>0</v>
      </c>
      <c r="H95" s="9">
        <f t="shared" si="19"/>
        <v>837869.64251443231</v>
      </c>
      <c r="I95" s="9">
        <f>E95*Параметры!$C$16</f>
        <v>571274.7562598401</v>
      </c>
      <c r="J95" s="9">
        <f>Параметры!$C$27</f>
        <v>170765.02732240438</v>
      </c>
      <c r="K95" s="9">
        <f>MAX(0,Параметры!$C$20-Параметры!$C$27*MAX(0,A95-Параметры!$C$11-1))*Параметры!$C$15/12</f>
        <v>124914.61748633879</v>
      </c>
      <c r="L95" s="9">
        <f t="shared" si="20"/>
        <v>2941543.9739970178</v>
      </c>
      <c r="M95" s="9">
        <f>T94*Параметры!$C$10/12</f>
        <v>880983.77424144826</v>
      </c>
      <c r="N95" s="9">
        <f t="shared" si="21"/>
        <v>2060560.1997555695</v>
      </c>
      <c r="O95" s="9">
        <f>MAX(0,N95*Параметры!$C$14)</f>
        <v>412112.03995111393</v>
      </c>
      <c r="P95" s="9">
        <f t="shared" si="22"/>
        <v>1648448.1598044555</v>
      </c>
      <c r="Q95" s="9">
        <v>0</v>
      </c>
      <c r="R95" s="9">
        <v>0</v>
      </c>
      <c r="S95" s="9">
        <f>MAX(0,MIN(Параметры!$C$26-M95,T94))</f>
        <v>274238.72086363763</v>
      </c>
      <c r="T95" s="9">
        <f t="shared" si="23"/>
        <v>52584787.733623251</v>
      </c>
      <c r="U95" s="9">
        <f t="shared" si="24"/>
        <v>707104.82374878973</v>
      </c>
      <c r="V95" s="9">
        <f t="shared" si="17"/>
        <v>6205347.7371400353</v>
      </c>
    </row>
    <row r="96" spans="1:22" x14ac:dyDescent="0.25">
      <c r="A96" s="11">
        <v>95</v>
      </c>
      <c r="B96" s="11" t="s">
        <v>157</v>
      </c>
      <c r="C96" s="12" t="s">
        <v>75</v>
      </c>
      <c r="D96" s="13">
        <f>Параметры!$C$4*Параметры!$C$7*(1+Параметры!$C$8)^INT((A96-Параметры!$C$11-1)/12)</f>
        <v>4646368.0175800333</v>
      </c>
      <c r="E96" s="13">
        <f>D96/(1+Параметры!$C$13)</f>
        <v>3808498.375065601</v>
      </c>
      <c r="F96" s="13">
        <f t="shared" si="18"/>
        <v>837869.64251443231</v>
      </c>
      <c r="G96" s="13">
        <f>IF(AND(A96&gt;Параметры!$C$11,A96&lt;=Параметры!$C$11+3),Параметры!$C$28,0)</f>
        <v>0</v>
      </c>
      <c r="H96" s="13">
        <f t="shared" si="19"/>
        <v>837869.64251443231</v>
      </c>
      <c r="I96" s="13">
        <f>E96*Параметры!$C$16</f>
        <v>571274.7562598401</v>
      </c>
      <c r="J96" s="13">
        <f>Параметры!$C$27</f>
        <v>170765.02732240438</v>
      </c>
      <c r="K96" s="13">
        <f>MAX(0,Параметры!$C$20-Параметры!$C$27*MAX(0,A96-Параметры!$C$11-1))*Параметры!$C$15/12</f>
        <v>124601.54826958104</v>
      </c>
      <c r="L96" s="13">
        <f t="shared" si="20"/>
        <v>2941857.0432137754</v>
      </c>
      <c r="M96" s="13">
        <f>T95*Параметры!$C$10/12</f>
        <v>876413.12889372092</v>
      </c>
      <c r="N96" s="13">
        <f t="shared" si="21"/>
        <v>2065443.9143200545</v>
      </c>
      <c r="O96" s="13">
        <f>MAX(0,N96*Параметры!$C$14)</f>
        <v>413088.78286401089</v>
      </c>
      <c r="P96" s="13">
        <f t="shared" si="22"/>
        <v>1652355.1314560436</v>
      </c>
      <c r="Q96" s="13">
        <v>0</v>
      </c>
      <c r="R96" s="13">
        <v>0</v>
      </c>
      <c r="S96" s="13">
        <f>MAX(0,MIN(Параметры!$C$26-M96,T95))</f>
        <v>278809.36621136498</v>
      </c>
      <c r="T96" s="13">
        <f t="shared" si="23"/>
        <v>52305978.367411889</v>
      </c>
      <c r="U96" s="13">
        <f t="shared" si="24"/>
        <v>706441.1500526506</v>
      </c>
      <c r="V96" s="13">
        <f t="shared" si="17"/>
        <v>6911788.8871926861</v>
      </c>
    </row>
    <row r="97" spans="1:22" x14ac:dyDescent="0.25">
      <c r="A97" s="14">
        <v>96</v>
      </c>
      <c r="B97" s="14" t="s">
        <v>158</v>
      </c>
      <c r="C97" s="15" t="s">
        <v>75</v>
      </c>
      <c r="D97" s="9">
        <f>Параметры!$C$4*Параметры!$C$7*(1+Параметры!$C$8)^INT((A97-Параметры!$C$11-1)/12)</f>
        <v>4646368.0175800333</v>
      </c>
      <c r="E97" s="9">
        <f>D97/(1+Параметры!$C$13)</f>
        <v>3808498.375065601</v>
      </c>
      <c r="F97" s="9">
        <f t="shared" si="18"/>
        <v>837869.64251443231</v>
      </c>
      <c r="G97" s="9">
        <f>IF(AND(A97&gt;Параметры!$C$11,A97&lt;=Параметры!$C$11+3),Параметры!$C$28,0)</f>
        <v>0</v>
      </c>
      <c r="H97" s="9">
        <f t="shared" si="19"/>
        <v>837869.64251443231</v>
      </c>
      <c r="I97" s="9">
        <f>E97*Параметры!$C$16</f>
        <v>571274.7562598401</v>
      </c>
      <c r="J97" s="9">
        <f>Параметры!$C$27</f>
        <v>170765.02732240438</v>
      </c>
      <c r="K97" s="9">
        <f>MAX(0,Параметры!$C$20-Параметры!$C$27*MAX(0,A97-Параметры!$C$11-1))*Параметры!$C$15/12</f>
        <v>124288.47905282331</v>
      </c>
      <c r="L97" s="9">
        <f t="shared" si="20"/>
        <v>2942170.1124305329</v>
      </c>
      <c r="M97" s="9">
        <f>T96*Параметры!$C$10/12</f>
        <v>871766.30612353154</v>
      </c>
      <c r="N97" s="9">
        <f t="shared" si="21"/>
        <v>2070403.8063070015</v>
      </c>
      <c r="O97" s="9">
        <f>MAX(0,N97*Параметры!$C$14)</f>
        <v>414080.7612614003</v>
      </c>
      <c r="P97" s="9">
        <f t="shared" si="22"/>
        <v>1656323.0450456012</v>
      </c>
      <c r="Q97" s="9">
        <v>0</v>
      </c>
      <c r="R97" s="9">
        <v>0</v>
      </c>
      <c r="S97" s="9">
        <f>MAX(0,MIN(Параметры!$C$26-M97,T96))</f>
        <v>283456.18898155435</v>
      </c>
      <c r="T97" s="9">
        <f t="shared" si="23"/>
        <v>52022522.178430334</v>
      </c>
      <c r="U97" s="9">
        <f t="shared" si="24"/>
        <v>705762.24087201897</v>
      </c>
      <c r="V97" s="9">
        <f t="shared" si="17"/>
        <v>7617551.1280647051</v>
      </c>
    </row>
    <row r="98" spans="1:22" x14ac:dyDescent="0.25">
      <c r="A98" s="11">
        <v>97</v>
      </c>
      <c r="B98" s="11" t="s">
        <v>159</v>
      </c>
      <c r="C98" s="12" t="s">
        <v>75</v>
      </c>
      <c r="D98" s="13">
        <f>Параметры!$C$4*Параметры!$C$7*(1+Параметры!$C$8)^INT((A98-Параметры!$C$11-1)/12)</f>
        <v>5018077.458986436</v>
      </c>
      <c r="E98" s="13">
        <f>D98/(1+Параметры!$C$13)</f>
        <v>4113178.2450708491</v>
      </c>
      <c r="F98" s="13">
        <f t="shared" si="18"/>
        <v>904899.21391558694</v>
      </c>
      <c r="G98" s="13">
        <f>IF(AND(A98&gt;Параметры!$C$11,A98&lt;=Параметры!$C$11+3),Параметры!$C$28,0)</f>
        <v>0</v>
      </c>
      <c r="H98" s="13">
        <f t="shared" si="19"/>
        <v>904899.21391558694</v>
      </c>
      <c r="I98" s="13">
        <f>E98*Параметры!$C$16</f>
        <v>616976.73676062736</v>
      </c>
      <c r="J98" s="13">
        <f>Параметры!$C$27</f>
        <v>170765.02732240438</v>
      </c>
      <c r="K98" s="13">
        <f>MAX(0,Параметры!$C$20-Параметры!$C$27*MAX(0,A98-Параметры!$C$11-1))*Параметры!$C$15/12</f>
        <v>123975.40983606555</v>
      </c>
      <c r="L98" s="13">
        <f t="shared" si="20"/>
        <v>3201461.0711517516</v>
      </c>
      <c r="M98" s="13">
        <f>T97*Параметры!$C$10/12</f>
        <v>867042.03630717227</v>
      </c>
      <c r="N98" s="13">
        <f t="shared" si="21"/>
        <v>2334419.0348445792</v>
      </c>
      <c r="O98" s="13">
        <f>MAX(0,N98*Параметры!$C$14)</f>
        <v>466883.80696891586</v>
      </c>
      <c r="P98" s="13">
        <f t="shared" si="22"/>
        <v>1867535.2278756634</v>
      </c>
      <c r="Q98" s="13">
        <v>0</v>
      </c>
      <c r="R98" s="13">
        <v>0</v>
      </c>
      <c r="S98" s="13">
        <f>MAX(0,MIN(Параметры!$C$26-M98,T97))</f>
        <v>288180.45879791363</v>
      </c>
      <c r="T98" s="13">
        <f t="shared" si="23"/>
        <v>51734341.719632417</v>
      </c>
      <c r="U98" s="13">
        <f t="shared" si="24"/>
        <v>845220.58248456707</v>
      </c>
      <c r="V98" s="13">
        <f t="shared" si="17"/>
        <v>8462771.7105492726</v>
      </c>
    </row>
    <row r="99" spans="1:22" x14ac:dyDescent="0.25">
      <c r="A99" s="14">
        <v>98</v>
      </c>
      <c r="B99" s="14" t="s">
        <v>160</v>
      </c>
      <c r="C99" s="15" t="s">
        <v>75</v>
      </c>
      <c r="D99" s="9">
        <f>Параметры!$C$4*Параметры!$C$7*(1+Параметры!$C$8)^INT((A99-Параметры!$C$11-1)/12)</f>
        <v>5018077.458986436</v>
      </c>
      <c r="E99" s="9">
        <f>D99/(1+Параметры!$C$13)</f>
        <v>4113178.2450708491</v>
      </c>
      <c r="F99" s="9">
        <f t="shared" si="18"/>
        <v>904899.21391558694</v>
      </c>
      <c r="G99" s="9">
        <f>IF(AND(A99&gt;Параметры!$C$11,A99&lt;=Параметры!$C$11+3),Параметры!$C$28,0)</f>
        <v>0</v>
      </c>
      <c r="H99" s="9">
        <f t="shared" si="19"/>
        <v>904899.21391558694</v>
      </c>
      <c r="I99" s="9">
        <f>E99*Параметры!$C$16</f>
        <v>616976.73676062736</v>
      </c>
      <c r="J99" s="9">
        <f>Параметры!$C$27</f>
        <v>170765.02732240438</v>
      </c>
      <c r="K99" s="9">
        <f>MAX(0,Параметры!$C$20-Параметры!$C$27*MAX(0,A99-Параметры!$C$11-1))*Параметры!$C$15/12</f>
        <v>123662.34061930783</v>
      </c>
      <c r="L99" s="9">
        <f t="shared" si="20"/>
        <v>3201774.1403685091</v>
      </c>
      <c r="M99" s="9">
        <f>T98*Параметры!$C$10/12</f>
        <v>862239.02866054035</v>
      </c>
      <c r="N99" s="9">
        <f t="shared" si="21"/>
        <v>2339535.1117079686</v>
      </c>
      <c r="O99" s="9">
        <f>MAX(0,N99*Параметры!$C$14)</f>
        <v>467907.02234159375</v>
      </c>
      <c r="P99" s="9">
        <f t="shared" si="22"/>
        <v>1871628.089366375</v>
      </c>
      <c r="Q99" s="9">
        <v>0</v>
      </c>
      <c r="R99" s="9">
        <v>0</v>
      </c>
      <c r="S99" s="9">
        <f>MAX(0,MIN(Параметры!$C$26-M99,T98))</f>
        <v>292983.46644454554</v>
      </c>
      <c r="T99" s="9">
        <f t="shared" si="23"/>
        <v>51441358.253187872</v>
      </c>
      <c r="U99" s="9">
        <f t="shared" si="24"/>
        <v>844510.43632864673</v>
      </c>
      <c r="V99" s="9">
        <f t="shared" ref="V99:V130" si="25">V98+U99</f>
        <v>9307282.1468779184</v>
      </c>
    </row>
    <row r="100" spans="1:22" x14ac:dyDescent="0.25">
      <c r="A100" s="11">
        <v>99</v>
      </c>
      <c r="B100" s="11" t="s">
        <v>161</v>
      </c>
      <c r="C100" s="12" t="s">
        <v>75</v>
      </c>
      <c r="D100" s="13">
        <f>Параметры!$C$4*Параметры!$C$7*(1+Параметры!$C$8)^INT((A100-Параметры!$C$11-1)/12)</f>
        <v>5018077.458986436</v>
      </c>
      <c r="E100" s="13">
        <f>D100/(1+Параметры!$C$13)</f>
        <v>4113178.2450708491</v>
      </c>
      <c r="F100" s="13">
        <f t="shared" si="18"/>
        <v>904899.21391558694</v>
      </c>
      <c r="G100" s="13">
        <f>IF(AND(A100&gt;Параметры!$C$11,A100&lt;=Параметры!$C$11+3),Параметры!$C$28,0)</f>
        <v>0</v>
      </c>
      <c r="H100" s="13">
        <f t="shared" si="19"/>
        <v>904899.21391558694</v>
      </c>
      <c r="I100" s="13">
        <f>E100*Параметры!$C$16</f>
        <v>616976.73676062736</v>
      </c>
      <c r="J100" s="13">
        <f>Параметры!$C$27</f>
        <v>170765.02732240438</v>
      </c>
      <c r="K100" s="13">
        <f>MAX(0,Параметры!$C$20-Параметры!$C$27*MAX(0,A100-Параметры!$C$11-1))*Параметры!$C$15/12</f>
        <v>123349.27140255006</v>
      </c>
      <c r="L100" s="13">
        <f t="shared" si="20"/>
        <v>3202087.2095852671</v>
      </c>
      <c r="M100" s="13">
        <f>T99*Параметры!$C$10/12</f>
        <v>857355.97088646458</v>
      </c>
      <c r="N100" s="13">
        <f t="shared" si="21"/>
        <v>2344731.2386988024</v>
      </c>
      <c r="O100" s="13">
        <f>MAX(0,N100*Параметры!$C$14)</f>
        <v>468946.2477397605</v>
      </c>
      <c r="P100" s="13">
        <f t="shared" si="22"/>
        <v>1875784.990959042</v>
      </c>
      <c r="Q100" s="13">
        <v>0</v>
      </c>
      <c r="R100" s="13">
        <v>0</v>
      </c>
      <c r="S100" s="13">
        <f>MAX(0,MIN(Параметры!$C$26-M100,T99))</f>
        <v>297866.52421862131</v>
      </c>
      <c r="T100" s="13">
        <f t="shared" si="23"/>
        <v>51143491.728969254</v>
      </c>
      <c r="U100" s="13">
        <f t="shared" si="24"/>
        <v>843784.28014723817</v>
      </c>
      <c r="V100" s="13">
        <f t="shared" si="25"/>
        <v>10151066.427025156</v>
      </c>
    </row>
    <row r="101" spans="1:22" x14ac:dyDescent="0.25">
      <c r="A101" s="14">
        <v>100</v>
      </c>
      <c r="B101" s="14" t="s">
        <v>162</v>
      </c>
      <c r="C101" s="15" t="s">
        <v>75</v>
      </c>
      <c r="D101" s="9">
        <f>Параметры!$C$4*Параметры!$C$7*(1+Параметры!$C$8)^INT((A101-Параметры!$C$11-1)/12)</f>
        <v>5018077.458986436</v>
      </c>
      <c r="E101" s="9">
        <f>D101/(1+Параметры!$C$13)</f>
        <v>4113178.2450708491</v>
      </c>
      <c r="F101" s="9">
        <f t="shared" si="18"/>
        <v>904899.21391558694</v>
      </c>
      <c r="G101" s="9">
        <f>IF(AND(A101&gt;Параметры!$C$11,A101&lt;=Параметры!$C$11+3),Параметры!$C$28,0)</f>
        <v>0</v>
      </c>
      <c r="H101" s="9">
        <f t="shared" si="19"/>
        <v>904899.21391558694</v>
      </c>
      <c r="I101" s="9">
        <f>E101*Параметры!$C$16</f>
        <v>616976.73676062736</v>
      </c>
      <c r="J101" s="9">
        <f>Параметры!$C$27</f>
        <v>170765.02732240438</v>
      </c>
      <c r="K101" s="9">
        <f>MAX(0,Параметры!$C$20-Параметры!$C$27*MAX(0,A101-Параметры!$C$11-1))*Параметры!$C$15/12</f>
        <v>123036.20218579234</v>
      </c>
      <c r="L101" s="9">
        <f t="shared" si="20"/>
        <v>3202400.2788020247</v>
      </c>
      <c r="M101" s="9">
        <f>T100*Параметры!$C$10/12</f>
        <v>852391.52881615423</v>
      </c>
      <c r="N101" s="9">
        <f t="shared" si="21"/>
        <v>2350008.7499858704</v>
      </c>
      <c r="O101" s="9">
        <f>MAX(0,N101*Параметры!$C$14)</f>
        <v>470001.74999717413</v>
      </c>
      <c r="P101" s="9">
        <f t="shared" si="22"/>
        <v>1880006.9999886963</v>
      </c>
      <c r="Q101" s="9">
        <v>0</v>
      </c>
      <c r="R101" s="9">
        <v>0</v>
      </c>
      <c r="S101" s="9">
        <f>MAX(0,MIN(Параметры!$C$26-M101,T100))</f>
        <v>302830.96628893167</v>
      </c>
      <c r="T101" s="9">
        <f t="shared" si="23"/>
        <v>50840660.762680322</v>
      </c>
      <c r="U101" s="9">
        <f t="shared" si="24"/>
        <v>843041.84710658202</v>
      </c>
      <c r="V101" s="9">
        <f t="shared" si="25"/>
        <v>10994108.274131738</v>
      </c>
    </row>
    <row r="102" spans="1:22" x14ac:dyDescent="0.25">
      <c r="A102" s="11">
        <v>101</v>
      </c>
      <c r="B102" s="11" t="s">
        <v>163</v>
      </c>
      <c r="C102" s="12" t="s">
        <v>75</v>
      </c>
      <c r="D102" s="13">
        <f>Параметры!$C$4*Параметры!$C$7*(1+Параметры!$C$8)^INT((A102-Параметры!$C$11-1)/12)</f>
        <v>5018077.458986436</v>
      </c>
      <c r="E102" s="13">
        <f>D102/(1+Параметры!$C$13)</f>
        <v>4113178.2450708491</v>
      </c>
      <c r="F102" s="13">
        <f t="shared" si="18"/>
        <v>904899.21391558694</v>
      </c>
      <c r="G102" s="13">
        <f>IF(AND(A102&gt;Параметры!$C$11,A102&lt;=Параметры!$C$11+3),Параметры!$C$28,0)</f>
        <v>0</v>
      </c>
      <c r="H102" s="13">
        <f t="shared" si="19"/>
        <v>904899.21391558694</v>
      </c>
      <c r="I102" s="13">
        <f>E102*Параметры!$C$16</f>
        <v>616976.73676062736</v>
      </c>
      <c r="J102" s="13">
        <f>Параметры!$C$27</f>
        <v>170765.02732240438</v>
      </c>
      <c r="K102" s="13">
        <f>MAX(0,Параметры!$C$20-Параметры!$C$27*MAX(0,A102-Параметры!$C$11-1))*Параметры!$C$15/12</f>
        <v>122723.13296903459</v>
      </c>
      <c r="L102" s="13">
        <f t="shared" si="20"/>
        <v>3202713.3480187827</v>
      </c>
      <c r="M102" s="13">
        <f>T101*Параметры!$C$10/12</f>
        <v>847344.34604467207</v>
      </c>
      <c r="N102" s="13">
        <f t="shared" si="21"/>
        <v>2355369.0019741105</v>
      </c>
      <c r="O102" s="13">
        <f>MAX(0,N102*Параметры!$C$14)</f>
        <v>471073.80039482214</v>
      </c>
      <c r="P102" s="13">
        <f t="shared" si="22"/>
        <v>1884295.2015792883</v>
      </c>
      <c r="Q102" s="13">
        <v>0</v>
      </c>
      <c r="R102" s="13">
        <v>0</v>
      </c>
      <c r="S102" s="13">
        <f>MAX(0,MIN(Параметры!$C$26-M102,T101))</f>
        <v>307878.14906041382</v>
      </c>
      <c r="T102" s="13">
        <f t="shared" si="23"/>
        <v>50532782.613619909</v>
      </c>
      <c r="U102" s="13">
        <f t="shared" si="24"/>
        <v>842282.86592569202</v>
      </c>
      <c r="V102" s="13">
        <f t="shared" si="25"/>
        <v>11836391.14005743</v>
      </c>
    </row>
    <row r="103" spans="1:22" x14ac:dyDescent="0.25">
      <c r="A103" s="14">
        <v>102</v>
      </c>
      <c r="B103" s="14" t="s">
        <v>164</v>
      </c>
      <c r="C103" s="15" t="s">
        <v>75</v>
      </c>
      <c r="D103" s="9">
        <f>Параметры!$C$4*Параметры!$C$7*(1+Параметры!$C$8)^INT((A103-Параметры!$C$11-1)/12)</f>
        <v>5018077.458986436</v>
      </c>
      <c r="E103" s="9">
        <f>D103/(1+Параметры!$C$13)</f>
        <v>4113178.2450708491</v>
      </c>
      <c r="F103" s="9">
        <f t="shared" si="18"/>
        <v>904899.21391558694</v>
      </c>
      <c r="G103" s="9">
        <f>IF(AND(A103&gt;Параметры!$C$11,A103&lt;=Параметры!$C$11+3),Параметры!$C$28,0)</f>
        <v>0</v>
      </c>
      <c r="H103" s="9">
        <f t="shared" si="19"/>
        <v>904899.21391558694</v>
      </c>
      <c r="I103" s="9">
        <f>E103*Параметры!$C$16</f>
        <v>616976.73676062736</v>
      </c>
      <c r="J103" s="9">
        <f>Параметры!$C$27</f>
        <v>170765.02732240438</v>
      </c>
      <c r="K103" s="9">
        <f>MAX(0,Параметры!$C$20-Параметры!$C$27*MAX(0,A103-Параметры!$C$11-1))*Параметры!$C$15/12</f>
        <v>122410.06375227687</v>
      </c>
      <c r="L103" s="9">
        <f t="shared" si="20"/>
        <v>3203026.4172355402</v>
      </c>
      <c r="M103" s="9">
        <f>T102*Параметры!$C$10/12</f>
        <v>842213.0435603318</v>
      </c>
      <c r="N103" s="9">
        <f t="shared" si="21"/>
        <v>2360813.3736752085</v>
      </c>
      <c r="O103" s="9">
        <f>MAX(0,N103*Параметры!$C$14)</f>
        <v>472162.67473504174</v>
      </c>
      <c r="P103" s="9">
        <f t="shared" si="22"/>
        <v>1888650.6989401667</v>
      </c>
      <c r="Q103" s="9">
        <v>0</v>
      </c>
      <c r="R103" s="9">
        <v>0</v>
      </c>
      <c r="S103" s="9">
        <f>MAX(0,MIN(Параметры!$C$26-M103,T102))</f>
        <v>313009.45154475409</v>
      </c>
      <c r="T103" s="9">
        <f t="shared" si="23"/>
        <v>50219773.162075154</v>
      </c>
      <c r="U103" s="9">
        <f t="shared" si="24"/>
        <v>841507.06080223015</v>
      </c>
      <c r="V103" s="9">
        <f t="shared" si="25"/>
        <v>12677898.20085966</v>
      </c>
    </row>
    <row r="104" spans="1:22" x14ac:dyDescent="0.25">
      <c r="A104" s="11">
        <v>103</v>
      </c>
      <c r="B104" s="11" t="s">
        <v>165</v>
      </c>
      <c r="C104" s="12" t="s">
        <v>75</v>
      </c>
      <c r="D104" s="13">
        <f>Параметры!$C$4*Параметры!$C$7*(1+Параметры!$C$8)^INT((A104-Параметры!$C$11-1)/12)</f>
        <v>5018077.458986436</v>
      </c>
      <c r="E104" s="13">
        <f>D104/(1+Параметры!$C$13)</f>
        <v>4113178.2450708491</v>
      </c>
      <c r="F104" s="13">
        <f t="shared" si="18"/>
        <v>904899.21391558694</v>
      </c>
      <c r="G104" s="13">
        <f>IF(AND(A104&gt;Параметры!$C$11,A104&lt;=Параметры!$C$11+3),Параметры!$C$28,0)</f>
        <v>0</v>
      </c>
      <c r="H104" s="13">
        <f t="shared" si="19"/>
        <v>904899.21391558694</v>
      </c>
      <c r="I104" s="13">
        <f>E104*Параметры!$C$16</f>
        <v>616976.73676062736</v>
      </c>
      <c r="J104" s="13">
        <f>Параметры!$C$27</f>
        <v>170765.02732240438</v>
      </c>
      <c r="K104" s="13">
        <f>MAX(0,Параметры!$C$20-Параметры!$C$27*MAX(0,A104-Параметры!$C$11-1))*Параметры!$C$15/12</f>
        <v>122096.9945355191</v>
      </c>
      <c r="L104" s="13">
        <f t="shared" si="20"/>
        <v>3203339.4864522978</v>
      </c>
      <c r="M104" s="13">
        <f>T103*Параметры!$C$10/12</f>
        <v>836996.21936791937</v>
      </c>
      <c r="N104" s="13">
        <f t="shared" si="21"/>
        <v>2366343.2670843783</v>
      </c>
      <c r="O104" s="13">
        <f>MAX(0,N104*Параметры!$C$14)</f>
        <v>473268.65341687569</v>
      </c>
      <c r="P104" s="13">
        <f t="shared" si="22"/>
        <v>1893074.6136675025</v>
      </c>
      <c r="Q104" s="13">
        <v>0</v>
      </c>
      <c r="R104" s="13">
        <v>0</v>
      </c>
      <c r="S104" s="13">
        <f>MAX(0,MIN(Параметры!$C$26-M104,T103))</f>
        <v>318226.27573716652</v>
      </c>
      <c r="T104" s="13">
        <f t="shared" si="23"/>
        <v>49901546.886337988</v>
      </c>
      <c r="U104" s="13">
        <f t="shared" si="24"/>
        <v>840714.15133715328</v>
      </c>
      <c r="V104" s="13">
        <f t="shared" si="25"/>
        <v>13518612.352196813</v>
      </c>
    </row>
    <row r="105" spans="1:22" x14ac:dyDescent="0.25">
      <c r="A105" s="14">
        <v>104</v>
      </c>
      <c r="B105" s="14" t="s">
        <v>166</v>
      </c>
      <c r="C105" s="15" t="s">
        <v>75</v>
      </c>
      <c r="D105" s="9">
        <f>Параметры!$C$4*Параметры!$C$7*(1+Параметры!$C$8)^INT((A105-Параметры!$C$11-1)/12)</f>
        <v>5018077.458986436</v>
      </c>
      <c r="E105" s="9">
        <f>D105/(1+Параметры!$C$13)</f>
        <v>4113178.2450708491</v>
      </c>
      <c r="F105" s="9">
        <f t="shared" si="18"/>
        <v>904899.21391558694</v>
      </c>
      <c r="G105" s="9">
        <f>IF(AND(A105&gt;Параметры!$C$11,A105&lt;=Параметры!$C$11+3),Параметры!$C$28,0)</f>
        <v>0</v>
      </c>
      <c r="H105" s="9">
        <f t="shared" si="19"/>
        <v>904899.21391558694</v>
      </c>
      <c r="I105" s="9">
        <f>E105*Параметры!$C$16</f>
        <v>616976.73676062736</v>
      </c>
      <c r="J105" s="9">
        <f>Параметры!$C$27</f>
        <v>170765.02732240438</v>
      </c>
      <c r="K105" s="9">
        <f>MAX(0,Параметры!$C$20-Параметры!$C$27*MAX(0,A105-Параметры!$C$11-1))*Параметры!$C$15/12</f>
        <v>121783.92531876138</v>
      </c>
      <c r="L105" s="9">
        <f t="shared" si="20"/>
        <v>3203652.5556690558</v>
      </c>
      <c r="M105" s="9">
        <f>T104*Параметры!$C$10/12</f>
        <v>831692.44810563314</v>
      </c>
      <c r="N105" s="9">
        <f t="shared" si="21"/>
        <v>2371960.1075634225</v>
      </c>
      <c r="O105" s="9">
        <f>MAX(0,N105*Параметры!$C$14)</f>
        <v>474392.02151268453</v>
      </c>
      <c r="P105" s="9">
        <f t="shared" si="22"/>
        <v>1897568.0860507381</v>
      </c>
      <c r="Q105" s="9">
        <v>0</v>
      </c>
      <c r="R105" s="9">
        <v>0</v>
      </c>
      <c r="S105" s="9">
        <f>MAX(0,MIN(Параметры!$C$26-M105,T104))</f>
        <v>323530.04699945275</v>
      </c>
      <c r="T105" s="9">
        <f t="shared" si="23"/>
        <v>49578016.839338534</v>
      </c>
      <c r="U105" s="9">
        <f t="shared" si="24"/>
        <v>839903.85245810263</v>
      </c>
      <c r="V105" s="9">
        <f t="shared" si="25"/>
        <v>14358516.204654915</v>
      </c>
    </row>
    <row r="106" spans="1:22" x14ac:dyDescent="0.25">
      <c r="A106" s="11">
        <v>105</v>
      </c>
      <c r="B106" s="11" t="s">
        <v>167</v>
      </c>
      <c r="C106" s="12" t="s">
        <v>75</v>
      </c>
      <c r="D106" s="13">
        <f>Параметры!$C$4*Параметры!$C$7*(1+Параметры!$C$8)^INT((A106-Параметры!$C$11-1)/12)</f>
        <v>5018077.458986436</v>
      </c>
      <c r="E106" s="13">
        <f>D106/(1+Параметры!$C$13)</f>
        <v>4113178.2450708491</v>
      </c>
      <c r="F106" s="13">
        <f t="shared" si="18"/>
        <v>904899.21391558694</v>
      </c>
      <c r="G106" s="13">
        <f>IF(AND(A106&gt;Параметры!$C$11,A106&lt;=Параметры!$C$11+3),Параметры!$C$28,0)</f>
        <v>0</v>
      </c>
      <c r="H106" s="13">
        <f t="shared" si="19"/>
        <v>904899.21391558694</v>
      </c>
      <c r="I106" s="13">
        <f>E106*Параметры!$C$16</f>
        <v>616976.73676062736</v>
      </c>
      <c r="J106" s="13">
        <f>Параметры!$C$27</f>
        <v>170765.02732240438</v>
      </c>
      <c r="K106" s="13">
        <f>MAX(0,Параметры!$C$20-Параметры!$C$27*MAX(0,A106-Параметры!$C$11-1))*Параметры!$C$15/12</f>
        <v>121470.85610200361</v>
      </c>
      <c r="L106" s="13">
        <f t="shared" si="20"/>
        <v>3203965.6248858133</v>
      </c>
      <c r="M106" s="13">
        <f>T105*Параметры!$C$10/12</f>
        <v>826300.28065564216</v>
      </c>
      <c r="N106" s="13">
        <f t="shared" si="21"/>
        <v>2377665.3442301713</v>
      </c>
      <c r="O106" s="13">
        <f>MAX(0,N106*Параметры!$C$14)</f>
        <v>475533.06884603429</v>
      </c>
      <c r="P106" s="13">
        <f t="shared" si="22"/>
        <v>1902132.2753841369</v>
      </c>
      <c r="Q106" s="13">
        <v>0</v>
      </c>
      <c r="R106" s="13">
        <v>0</v>
      </c>
      <c r="S106" s="13">
        <f>MAX(0,MIN(Параметры!$C$26-M106,T105))</f>
        <v>328922.21444944374</v>
      </c>
      <c r="T106" s="13">
        <f t="shared" si="23"/>
        <v>49249094.624889091</v>
      </c>
      <c r="U106" s="13">
        <f t="shared" si="24"/>
        <v>839075.8743415107</v>
      </c>
      <c r="V106" s="13">
        <f t="shared" si="25"/>
        <v>15197592.078996425</v>
      </c>
    </row>
    <row r="107" spans="1:22" x14ac:dyDescent="0.25">
      <c r="A107" s="14">
        <v>106</v>
      </c>
      <c r="B107" s="14" t="s">
        <v>168</v>
      </c>
      <c r="C107" s="15" t="s">
        <v>75</v>
      </c>
      <c r="D107" s="9">
        <f>Параметры!$C$4*Параметры!$C$7*(1+Параметры!$C$8)^INT((A107-Параметры!$C$11-1)/12)</f>
        <v>5018077.458986436</v>
      </c>
      <c r="E107" s="9">
        <f>D107/(1+Параметры!$C$13)</f>
        <v>4113178.2450708491</v>
      </c>
      <c r="F107" s="9">
        <f t="shared" si="18"/>
        <v>904899.21391558694</v>
      </c>
      <c r="G107" s="9">
        <f>IF(AND(A107&gt;Параметры!$C$11,A107&lt;=Параметры!$C$11+3),Параметры!$C$28,0)</f>
        <v>0</v>
      </c>
      <c r="H107" s="9">
        <f t="shared" si="19"/>
        <v>904899.21391558694</v>
      </c>
      <c r="I107" s="9">
        <f>E107*Параметры!$C$16</f>
        <v>616976.73676062736</v>
      </c>
      <c r="J107" s="9">
        <f>Параметры!$C$27</f>
        <v>170765.02732240438</v>
      </c>
      <c r="K107" s="9">
        <f>MAX(0,Параметры!$C$20-Параметры!$C$27*MAX(0,A107-Параметры!$C$11-1))*Параметры!$C$15/12</f>
        <v>121157.78688524588</v>
      </c>
      <c r="L107" s="9">
        <f t="shared" si="20"/>
        <v>3204278.6941025713</v>
      </c>
      <c r="M107" s="9">
        <f>T106*Параметры!$C$10/12</f>
        <v>820818.24374815158</v>
      </c>
      <c r="N107" s="9">
        <f t="shared" si="21"/>
        <v>2383460.4503544196</v>
      </c>
      <c r="O107" s="9">
        <f>MAX(0,N107*Параметры!$C$14)</f>
        <v>476692.09007088398</v>
      </c>
      <c r="P107" s="9">
        <f t="shared" si="22"/>
        <v>1906768.3602835357</v>
      </c>
      <c r="Q107" s="9">
        <v>0</v>
      </c>
      <c r="R107" s="9">
        <v>0</v>
      </c>
      <c r="S107" s="9">
        <f>MAX(0,MIN(Параметры!$C$26-M107,T106))</f>
        <v>334404.25135693431</v>
      </c>
      <c r="T107" s="9">
        <f t="shared" si="23"/>
        <v>48914690.373532154</v>
      </c>
      <c r="U107" s="9">
        <f t="shared" si="24"/>
        <v>838229.92233341886</v>
      </c>
      <c r="V107" s="9">
        <f t="shared" si="25"/>
        <v>16035822.001329845</v>
      </c>
    </row>
    <row r="108" spans="1:22" x14ac:dyDescent="0.25">
      <c r="A108" s="11">
        <v>107</v>
      </c>
      <c r="B108" s="11" t="s">
        <v>169</v>
      </c>
      <c r="C108" s="12" t="s">
        <v>75</v>
      </c>
      <c r="D108" s="13">
        <f>Параметры!$C$4*Параметры!$C$7*(1+Параметры!$C$8)^INT((A108-Параметры!$C$11-1)/12)</f>
        <v>5018077.458986436</v>
      </c>
      <c r="E108" s="13">
        <f>D108/(1+Параметры!$C$13)</f>
        <v>4113178.2450708491</v>
      </c>
      <c r="F108" s="13">
        <f t="shared" si="18"/>
        <v>904899.21391558694</v>
      </c>
      <c r="G108" s="13">
        <f>IF(AND(A108&gt;Параметры!$C$11,A108&lt;=Параметры!$C$11+3),Параметры!$C$28,0)</f>
        <v>0</v>
      </c>
      <c r="H108" s="13">
        <f t="shared" si="19"/>
        <v>904899.21391558694</v>
      </c>
      <c r="I108" s="13">
        <f>E108*Параметры!$C$16</f>
        <v>616976.73676062736</v>
      </c>
      <c r="J108" s="13">
        <f>Параметры!$C$27</f>
        <v>170765.02732240438</v>
      </c>
      <c r="K108" s="13">
        <f>MAX(0,Параметры!$C$20-Параметры!$C$27*MAX(0,A108-Параметры!$C$11-1))*Параметры!$C$15/12</f>
        <v>120844.71766848814</v>
      </c>
      <c r="L108" s="13">
        <f t="shared" si="20"/>
        <v>3204591.7633193289</v>
      </c>
      <c r="M108" s="13">
        <f>T107*Параметры!$C$10/12</f>
        <v>815244.83955886925</v>
      </c>
      <c r="N108" s="13">
        <f t="shared" si="21"/>
        <v>2389346.9237604598</v>
      </c>
      <c r="O108" s="13">
        <f>MAX(0,N108*Параметры!$C$14)</f>
        <v>477869.38475209195</v>
      </c>
      <c r="P108" s="13">
        <f t="shared" si="22"/>
        <v>1911477.5390083678</v>
      </c>
      <c r="Q108" s="13">
        <v>0</v>
      </c>
      <c r="R108" s="13">
        <v>0</v>
      </c>
      <c r="S108" s="13">
        <f>MAX(0,MIN(Параметры!$C$26-M108,T107))</f>
        <v>339977.65554621664</v>
      </c>
      <c r="T108" s="13">
        <f t="shared" si="23"/>
        <v>48574712.717985936</v>
      </c>
      <c r="U108" s="13">
        <f t="shared" si="24"/>
        <v>837365.69686896866</v>
      </c>
      <c r="V108" s="13">
        <f t="shared" si="25"/>
        <v>16873187.698198814</v>
      </c>
    </row>
    <row r="109" spans="1:22" x14ac:dyDescent="0.25">
      <c r="A109" s="14">
        <v>108</v>
      </c>
      <c r="B109" s="14" t="s">
        <v>170</v>
      </c>
      <c r="C109" s="15" t="s">
        <v>75</v>
      </c>
      <c r="D109" s="9">
        <f>Параметры!$C$4*Параметры!$C$7*(1+Параметры!$C$8)^INT((A109-Параметры!$C$11-1)/12)</f>
        <v>5018077.458986436</v>
      </c>
      <c r="E109" s="9">
        <f>D109/(1+Параметры!$C$13)</f>
        <v>4113178.2450708491</v>
      </c>
      <c r="F109" s="9">
        <f t="shared" si="18"/>
        <v>904899.21391558694</v>
      </c>
      <c r="G109" s="9">
        <f>IF(AND(A109&gt;Параметры!$C$11,A109&lt;=Параметры!$C$11+3),Параметры!$C$28,0)</f>
        <v>0</v>
      </c>
      <c r="H109" s="9">
        <f t="shared" si="19"/>
        <v>904899.21391558694</v>
      </c>
      <c r="I109" s="9">
        <f>E109*Параметры!$C$16</f>
        <v>616976.73676062736</v>
      </c>
      <c r="J109" s="9">
        <f>Параметры!$C$27</f>
        <v>170765.02732240438</v>
      </c>
      <c r="K109" s="9">
        <f>MAX(0,Параметры!$C$20-Параметры!$C$27*MAX(0,A109-Параметры!$C$11-1))*Параметры!$C$15/12</f>
        <v>120531.64845173039</v>
      </c>
      <c r="L109" s="9">
        <f t="shared" si="20"/>
        <v>3204904.8325360864</v>
      </c>
      <c r="M109" s="9">
        <f>T108*Параметры!$C$10/12</f>
        <v>809578.54529976565</v>
      </c>
      <c r="N109" s="9">
        <f t="shared" si="21"/>
        <v>2395326.2872363208</v>
      </c>
      <c r="O109" s="9">
        <f>MAX(0,N109*Параметры!$C$14)</f>
        <v>479065.25744726416</v>
      </c>
      <c r="P109" s="9">
        <f t="shared" si="22"/>
        <v>1916261.0297890566</v>
      </c>
      <c r="Q109" s="9">
        <v>0</v>
      </c>
      <c r="R109" s="9">
        <v>0</v>
      </c>
      <c r="S109" s="9">
        <f>MAX(0,MIN(Параметры!$C$26-M109,T108))</f>
        <v>345643.94980532024</v>
      </c>
      <c r="T109" s="9">
        <f t="shared" si="23"/>
        <v>48229068.768180616</v>
      </c>
      <c r="U109" s="9">
        <f t="shared" si="24"/>
        <v>836482.89339055377</v>
      </c>
      <c r="V109" s="9">
        <f t="shared" si="25"/>
        <v>17709670.591589369</v>
      </c>
    </row>
    <row r="110" spans="1:22" x14ac:dyDescent="0.25">
      <c r="A110" s="11">
        <v>109</v>
      </c>
      <c r="B110" s="11" t="s">
        <v>171</v>
      </c>
      <c r="C110" s="12" t="s">
        <v>75</v>
      </c>
      <c r="D110" s="13">
        <f>Параметры!$C$4*Параметры!$C$7*(1+Параметры!$C$8)^INT((A110-Параметры!$C$11-1)/12)</f>
        <v>5419523.6557053514</v>
      </c>
      <c r="E110" s="13">
        <f>D110/(1+Параметры!$C$13)</f>
        <v>4442232.504676518</v>
      </c>
      <c r="F110" s="13">
        <f t="shared" ref="F110:F141" si="26">D110-E110</f>
        <v>977291.15102883335</v>
      </c>
      <c r="G110" s="13">
        <f>IF(AND(A110&gt;Параметры!$C$11,A110&lt;=Параметры!$C$11+3),Параметры!$C$28,0)</f>
        <v>0</v>
      </c>
      <c r="H110" s="13">
        <f t="shared" ref="H110:H141" si="27">F110-G110</f>
        <v>977291.15102883335</v>
      </c>
      <c r="I110" s="13">
        <f>E110*Параметры!$C$16</f>
        <v>666334.87570147763</v>
      </c>
      <c r="J110" s="13">
        <f>Параметры!$C$27</f>
        <v>170765.02732240438</v>
      </c>
      <c r="K110" s="13">
        <f>MAX(0,Параметры!$C$20-Параметры!$C$27*MAX(0,A110-Параметры!$C$11-1))*Параметры!$C$15/12</f>
        <v>120218.57923497265</v>
      </c>
      <c r="L110" s="13">
        <f t="shared" ref="L110:L141" si="28">E110-I110-J110-K110</f>
        <v>3484914.0224176631</v>
      </c>
      <c r="M110" s="13">
        <f>T109*Параметры!$C$10/12</f>
        <v>803817.81280301034</v>
      </c>
      <c r="N110" s="13">
        <f t="shared" ref="N110:N141" si="29">L110-M110</f>
        <v>2681096.2096146527</v>
      </c>
      <c r="O110" s="13">
        <f>MAX(0,N110*Параметры!$C$14)</f>
        <v>536219.24192293058</v>
      </c>
      <c r="P110" s="13">
        <f t="shared" ref="P110:P141" si="30">N110-O110</f>
        <v>2144876.9676917223</v>
      </c>
      <c r="Q110" s="13">
        <v>0</v>
      </c>
      <c r="R110" s="13">
        <v>0</v>
      </c>
      <c r="S110" s="13">
        <f>MAX(0,MIN(Параметры!$C$26-M110,T109))</f>
        <v>351404.68230207555</v>
      </c>
      <c r="T110" s="13">
        <f t="shared" ref="T110:T141" si="31">MAX(0,T109-S110)</f>
        <v>47877664.085878544</v>
      </c>
      <c r="U110" s="13">
        <f t="shared" ref="U110:U141" si="32">P110+J110-S110-H110</f>
        <v>986946.16168321809</v>
      </c>
      <c r="V110" s="13">
        <f t="shared" si="25"/>
        <v>18696616.753272586</v>
      </c>
    </row>
    <row r="111" spans="1:22" x14ac:dyDescent="0.25">
      <c r="A111" s="14">
        <v>110</v>
      </c>
      <c r="B111" s="14" t="s">
        <v>172</v>
      </c>
      <c r="C111" s="15" t="s">
        <v>75</v>
      </c>
      <c r="D111" s="9">
        <f>Параметры!$C$4*Параметры!$C$7*(1+Параметры!$C$8)^INT((A111-Параметры!$C$11-1)/12)</f>
        <v>5419523.6557053514</v>
      </c>
      <c r="E111" s="9">
        <f>D111/(1+Параметры!$C$13)</f>
        <v>4442232.504676518</v>
      </c>
      <c r="F111" s="9">
        <f t="shared" si="26"/>
        <v>977291.15102883335</v>
      </c>
      <c r="G111" s="9">
        <f>IF(AND(A111&gt;Параметры!$C$11,A111&lt;=Параметры!$C$11+3),Параметры!$C$28,0)</f>
        <v>0</v>
      </c>
      <c r="H111" s="9">
        <f t="shared" si="27"/>
        <v>977291.15102883335</v>
      </c>
      <c r="I111" s="9">
        <f>E111*Параметры!$C$16</f>
        <v>666334.87570147763</v>
      </c>
      <c r="J111" s="9">
        <f>Параметры!$C$27</f>
        <v>170765.02732240438</v>
      </c>
      <c r="K111" s="9">
        <f>MAX(0,Параметры!$C$20-Параметры!$C$27*MAX(0,A111-Параметры!$C$11-1))*Параметры!$C$15/12</f>
        <v>119905.51001821492</v>
      </c>
      <c r="L111" s="9">
        <f t="shared" si="28"/>
        <v>3485227.0916344207</v>
      </c>
      <c r="M111" s="9">
        <f>T110*Параметры!$C$10/12</f>
        <v>797961.06809797569</v>
      </c>
      <c r="N111" s="9">
        <f t="shared" si="29"/>
        <v>2687266.0235364451</v>
      </c>
      <c r="O111" s="9">
        <f>MAX(0,N111*Параметры!$C$14)</f>
        <v>537453.204707289</v>
      </c>
      <c r="P111" s="9">
        <f t="shared" si="30"/>
        <v>2149812.818829156</v>
      </c>
      <c r="Q111" s="9">
        <v>0</v>
      </c>
      <c r="R111" s="9">
        <v>0</v>
      </c>
      <c r="S111" s="9">
        <f>MAX(0,MIN(Параметры!$C$26-M111,T110))</f>
        <v>357261.42700711021</v>
      </c>
      <c r="T111" s="9">
        <f t="shared" si="31"/>
        <v>47520402.658871435</v>
      </c>
      <c r="U111" s="9">
        <f t="shared" si="32"/>
        <v>986025.26811561687</v>
      </c>
      <c r="V111" s="9">
        <f t="shared" si="25"/>
        <v>19682642.021388203</v>
      </c>
    </row>
    <row r="112" spans="1:22" x14ac:dyDescent="0.25">
      <c r="A112" s="11">
        <v>111</v>
      </c>
      <c r="B112" s="11" t="s">
        <v>173</v>
      </c>
      <c r="C112" s="12" t="s">
        <v>75</v>
      </c>
      <c r="D112" s="13">
        <f>Параметры!$C$4*Параметры!$C$7*(1+Параметры!$C$8)^INT((A112-Параметры!$C$11-1)/12)</f>
        <v>5419523.6557053514</v>
      </c>
      <c r="E112" s="13">
        <f>D112/(1+Параметры!$C$13)</f>
        <v>4442232.504676518</v>
      </c>
      <c r="F112" s="13">
        <f t="shared" si="26"/>
        <v>977291.15102883335</v>
      </c>
      <c r="G112" s="13">
        <f>IF(AND(A112&gt;Параметры!$C$11,A112&lt;=Параметры!$C$11+3),Параметры!$C$28,0)</f>
        <v>0</v>
      </c>
      <c r="H112" s="13">
        <f t="shared" si="27"/>
        <v>977291.15102883335</v>
      </c>
      <c r="I112" s="13">
        <f>E112*Параметры!$C$16</f>
        <v>666334.87570147763</v>
      </c>
      <c r="J112" s="13">
        <f>Параметры!$C$27</f>
        <v>170765.02732240438</v>
      </c>
      <c r="K112" s="13">
        <f>MAX(0,Параметры!$C$20-Параметры!$C$27*MAX(0,A112-Параметры!$C$11-1))*Параметры!$C$15/12</f>
        <v>119592.44080145717</v>
      </c>
      <c r="L112" s="13">
        <f t="shared" si="28"/>
        <v>3485540.1608511787</v>
      </c>
      <c r="M112" s="13">
        <f>T111*Параметры!$C$10/12</f>
        <v>792006.71098119067</v>
      </c>
      <c r="N112" s="13">
        <f t="shared" si="29"/>
        <v>2693533.449869988</v>
      </c>
      <c r="O112" s="13">
        <f>MAX(0,N112*Параметры!$C$14)</f>
        <v>538706.68997399765</v>
      </c>
      <c r="P112" s="13">
        <f t="shared" si="30"/>
        <v>2154826.7598959906</v>
      </c>
      <c r="Q112" s="13">
        <v>0</v>
      </c>
      <c r="R112" s="13">
        <v>0</v>
      </c>
      <c r="S112" s="13">
        <f>MAX(0,MIN(Параметры!$C$26-M112,T111))</f>
        <v>363215.78412389522</v>
      </c>
      <c r="T112" s="13">
        <f t="shared" si="31"/>
        <v>47157186.874747537</v>
      </c>
      <c r="U112" s="13">
        <f t="shared" si="32"/>
        <v>985084.85206566658</v>
      </c>
      <c r="V112" s="13">
        <f t="shared" si="25"/>
        <v>20667726.87345387</v>
      </c>
    </row>
    <row r="113" spans="1:22" x14ac:dyDescent="0.25">
      <c r="A113" s="14">
        <v>112</v>
      </c>
      <c r="B113" s="14" t="s">
        <v>174</v>
      </c>
      <c r="C113" s="15" t="s">
        <v>75</v>
      </c>
      <c r="D113" s="9">
        <f>Параметры!$C$4*Параметры!$C$7*(1+Параметры!$C$8)^INT((A113-Параметры!$C$11-1)/12)</f>
        <v>5419523.6557053514</v>
      </c>
      <c r="E113" s="9">
        <f>D113/(1+Параметры!$C$13)</f>
        <v>4442232.504676518</v>
      </c>
      <c r="F113" s="9">
        <f t="shared" si="26"/>
        <v>977291.15102883335</v>
      </c>
      <c r="G113" s="9">
        <f>IF(AND(A113&gt;Параметры!$C$11,A113&lt;=Параметры!$C$11+3),Параметры!$C$28,0)</f>
        <v>0</v>
      </c>
      <c r="H113" s="9">
        <f t="shared" si="27"/>
        <v>977291.15102883335</v>
      </c>
      <c r="I113" s="9">
        <f>E113*Параметры!$C$16</f>
        <v>666334.87570147763</v>
      </c>
      <c r="J113" s="9">
        <f>Параметры!$C$27</f>
        <v>170765.02732240438</v>
      </c>
      <c r="K113" s="9">
        <f>MAX(0,Параметры!$C$20-Параметры!$C$27*MAX(0,A113-Параметры!$C$11-1))*Параметры!$C$15/12</f>
        <v>119279.37158469943</v>
      </c>
      <c r="L113" s="9">
        <f t="shared" si="28"/>
        <v>3485853.2300679362</v>
      </c>
      <c r="M113" s="9">
        <f>T112*Параметры!$C$10/12</f>
        <v>785953.11457912566</v>
      </c>
      <c r="N113" s="9">
        <f t="shared" si="29"/>
        <v>2699900.1154888105</v>
      </c>
      <c r="O113" s="9">
        <f>MAX(0,N113*Параметры!$C$14)</f>
        <v>539980.02309776214</v>
      </c>
      <c r="P113" s="9">
        <f t="shared" si="30"/>
        <v>2159920.0923910486</v>
      </c>
      <c r="Q113" s="9">
        <v>0</v>
      </c>
      <c r="R113" s="9">
        <v>0</v>
      </c>
      <c r="S113" s="9">
        <f>MAX(0,MIN(Параметры!$C$26-M113,T112))</f>
        <v>369269.38052596024</v>
      </c>
      <c r="T113" s="9">
        <f t="shared" si="31"/>
        <v>46787917.494221576</v>
      </c>
      <c r="U113" s="9">
        <f t="shared" si="32"/>
        <v>984124.58815865964</v>
      </c>
      <c r="V113" s="9">
        <f t="shared" si="25"/>
        <v>21651851.46161253</v>
      </c>
    </row>
    <row r="114" spans="1:22" x14ac:dyDescent="0.25">
      <c r="A114" s="11">
        <v>113</v>
      </c>
      <c r="B114" s="11" t="s">
        <v>175</v>
      </c>
      <c r="C114" s="12" t="s">
        <v>75</v>
      </c>
      <c r="D114" s="13">
        <f>Параметры!$C$4*Параметры!$C$7*(1+Параметры!$C$8)^INT((A114-Параметры!$C$11-1)/12)</f>
        <v>5419523.6557053514</v>
      </c>
      <c r="E114" s="13">
        <f>D114/(1+Параметры!$C$13)</f>
        <v>4442232.504676518</v>
      </c>
      <c r="F114" s="13">
        <f t="shared" si="26"/>
        <v>977291.15102883335</v>
      </c>
      <c r="G114" s="13">
        <f>IF(AND(A114&gt;Параметры!$C$11,A114&lt;=Параметры!$C$11+3),Параметры!$C$28,0)</f>
        <v>0</v>
      </c>
      <c r="H114" s="13">
        <f t="shared" si="27"/>
        <v>977291.15102883335</v>
      </c>
      <c r="I114" s="13">
        <f>E114*Параметры!$C$16</f>
        <v>666334.87570147763</v>
      </c>
      <c r="J114" s="13">
        <f>Параметры!$C$27</f>
        <v>170765.02732240438</v>
      </c>
      <c r="K114" s="13">
        <f>MAX(0,Параметры!$C$20-Параметры!$C$27*MAX(0,A114-Параметры!$C$11-1))*Параметры!$C$15/12</f>
        <v>118966.30236794169</v>
      </c>
      <c r="L114" s="13">
        <f t="shared" si="28"/>
        <v>3486166.2992846943</v>
      </c>
      <c r="M114" s="13">
        <f>T113*Параметры!$C$10/12</f>
        <v>779798.62490369298</v>
      </c>
      <c r="N114" s="13">
        <f t="shared" si="29"/>
        <v>2706367.6743810014</v>
      </c>
      <c r="O114" s="13">
        <f>MAX(0,N114*Параметры!$C$14)</f>
        <v>541273.53487620025</v>
      </c>
      <c r="P114" s="13">
        <f t="shared" si="30"/>
        <v>2165094.139504801</v>
      </c>
      <c r="Q114" s="13">
        <v>0</v>
      </c>
      <c r="R114" s="13">
        <v>0</v>
      </c>
      <c r="S114" s="13">
        <f>MAX(0,MIN(Параметры!$C$26-M114,T113))</f>
        <v>375423.87020139291</v>
      </c>
      <c r="T114" s="13">
        <f t="shared" si="31"/>
        <v>46412493.624020182</v>
      </c>
      <c r="U114" s="13">
        <f t="shared" si="32"/>
        <v>983144.14559697919</v>
      </c>
      <c r="V114" s="13">
        <f t="shared" si="25"/>
        <v>22634995.607209511</v>
      </c>
    </row>
    <row r="115" spans="1:22" x14ac:dyDescent="0.25">
      <c r="A115" s="14">
        <v>114</v>
      </c>
      <c r="B115" s="14" t="s">
        <v>176</v>
      </c>
      <c r="C115" s="15" t="s">
        <v>75</v>
      </c>
      <c r="D115" s="9">
        <f>Параметры!$C$4*Параметры!$C$7*(1+Параметры!$C$8)^INT((A115-Параметры!$C$11-1)/12)</f>
        <v>5419523.6557053514</v>
      </c>
      <c r="E115" s="9">
        <f>D115/(1+Параметры!$C$13)</f>
        <v>4442232.504676518</v>
      </c>
      <c r="F115" s="9">
        <f t="shared" si="26"/>
        <v>977291.15102883335</v>
      </c>
      <c r="G115" s="9">
        <f>IF(AND(A115&gt;Параметры!$C$11,A115&lt;=Параметры!$C$11+3),Параметры!$C$28,0)</f>
        <v>0</v>
      </c>
      <c r="H115" s="9">
        <f t="shared" si="27"/>
        <v>977291.15102883335</v>
      </c>
      <c r="I115" s="9">
        <f>E115*Параметры!$C$16</f>
        <v>666334.87570147763</v>
      </c>
      <c r="J115" s="9">
        <f>Параметры!$C$27</f>
        <v>170765.02732240438</v>
      </c>
      <c r="K115" s="9">
        <f>MAX(0,Параметры!$C$20-Параметры!$C$27*MAX(0,A115-Параметры!$C$11-1))*Параметры!$C$15/12</f>
        <v>118653.23315118394</v>
      </c>
      <c r="L115" s="9">
        <f t="shared" si="28"/>
        <v>3486479.3685014518</v>
      </c>
      <c r="M115" s="9">
        <f>T114*Параметры!$C$10/12</f>
        <v>773541.5604003364</v>
      </c>
      <c r="N115" s="9">
        <f t="shared" si="29"/>
        <v>2712937.8081011153</v>
      </c>
      <c r="O115" s="9">
        <f>MAX(0,N115*Параметры!$C$14)</f>
        <v>542587.5616202231</v>
      </c>
      <c r="P115" s="9">
        <f t="shared" si="30"/>
        <v>2170350.2464808924</v>
      </c>
      <c r="Q115" s="9">
        <v>0</v>
      </c>
      <c r="R115" s="9">
        <v>0</v>
      </c>
      <c r="S115" s="9">
        <f>MAX(0,MIN(Параметры!$C$26-M115,T114))</f>
        <v>381680.9347047495</v>
      </c>
      <c r="T115" s="9">
        <f t="shared" si="31"/>
        <v>46030812.689315431</v>
      </c>
      <c r="U115" s="9">
        <f t="shared" si="32"/>
        <v>982143.18806971423</v>
      </c>
      <c r="V115" s="9">
        <f t="shared" si="25"/>
        <v>23617138.795279227</v>
      </c>
    </row>
    <row r="116" spans="1:22" x14ac:dyDescent="0.25">
      <c r="A116" s="11">
        <v>115</v>
      </c>
      <c r="B116" s="11" t="s">
        <v>177</v>
      </c>
      <c r="C116" s="12" t="s">
        <v>75</v>
      </c>
      <c r="D116" s="13">
        <f>Параметры!$C$4*Параметры!$C$7*(1+Параметры!$C$8)^INT((A116-Параметры!$C$11-1)/12)</f>
        <v>5419523.6557053514</v>
      </c>
      <c r="E116" s="13">
        <f>D116/(1+Параметры!$C$13)</f>
        <v>4442232.504676518</v>
      </c>
      <c r="F116" s="13">
        <f t="shared" si="26"/>
        <v>977291.15102883335</v>
      </c>
      <c r="G116" s="13">
        <f>IF(AND(A116&gt;Параметры!$C$11,A116&lt;=Параметры!$C$11+3),Параметры!$C$28,0)</f>
        <v>0</v>
      </c>
      <c r="H116" s="13">
        <f t="shared" si="27"/>
        <v>977291.15102883335</v>
      </c>
      <c r="I116" s="13">
        <f>E116*Параметры!$C$16</f>
        <v>666334.87570147763</v>
      </c>
      <c r="J116" s="13">
        <f>Параметры!$C$27</f>
        <v>170765.02732240438</v>
      </c>
      <c r="K116" s="13">
        <f>MAX(0,Параметры!$C$20-Параметры!$C$27*MAX(0,A116-Параметры!$C$11-1))*Параметры!$C$15/12</f>
        <v>118340.16393442621</v>
      </c>
      <c r="L116" s="13">
        <f t="shared" si="28"/>
        <v>3486792.4377182093</v>
      </c>
      <c r="M116" s="13">
        <f>T115*Параметры!$C$10/12</f>
        <v>767180.21148859058</v>
      </c>
      <c r="N116" s="13">
        <f t="shared" si="29"/>
        <v>2719612.2262296188</v>
      </c>
      <c r="O116" s="13">
        <f>MAX(0,N116*Параметры!$C$14)</f>
        <v>543922.44524592382</v>
      </c>
      <c r="P116" s="13">
        <f t="shared" si="30"/>
        <v>2175689.7809836948</v>
      </c>
      <c r="Q116" s="13">
        <v>0</v>
      </c>
      <c r="R116" s="13">
        <v>0</v>
      </c>
      <c r="S116" s="13">
        <f>MAX(0,MIN(Параметры!$C$26-M116,T115))</f>
        <v>388042.28361649532</v>
      </c>
      <c r="T116" s="13">
        <f t="shared" si="31"/>
        <v>45642770.405698933</v>
      </c>
      <c r="U116" s="13">
        <f t="shared" si="32"/>
        <v>981121.37366077071</v>
      </c>
      <c r="V116" s="13">
        <f t="shared" si="25"/>
        <v>24598260.168939997</v>
      </c>
    </row>
    <row r="117" spans="1:22" x14ac:dyDescent="0.25">
      <c r="A117" s="14">
        <v>116</v>
      </c>
      <c r="B117" s="14" t="s">
        <v>178</v>
      </c>
      <c r="C117" s="15" t="s">
        <v>75</v>
      </c>
      <c r="D117" s="9">
        <f>Параметры!$C$4*Параметры!$C$7*(1+Параметры!$C$8)^INT((A117-Параметры!$C$11-1)/12)</f>
        <v>5419523.6557053514</v>
      </c>
      <c r="E117" s="9">
        <f>D117/(1+Параметры!$C$13)</f>
        <v>4442232.504676518</v>
      </c>
      <c r="F117" s="9">
        <f t="shared" si="26"/>
        <v>977291.15102883335</v>
      </c>
      <c r="G117" s="9">
        <f>IF(AND(A117&gt;Параметры!$C$11,A117&lt;=Параметры!$C$11+3),Параметры!$C$28,0)</f>
        <v>0</v>
      </c>
      <c r="H117" s="9">
        <f t="shared" si="27"/>
        <v>977291.15102883335</v>
      </c>
      <c r="I117" s="9">
        <f>E117*Параметры!$C$16</f>
        <v>666334.87570147763</v>
      </c>
      <c r="J117" s="9">
        <f>Параметры!$C$27</f>
        <v>170765.02732240438</v>
      </c>
      <c r="K117" s="9">
        <f>MAX(0,Параметры!$C$20-Параметры!$C$27*MAX(0,A117-Параметры!$C$11-1))*Параметры!$C$15/12</f>
        <v>118027.09471766847</v>
      </c>
      <c r="L117" s="9">
        <f t="shared" si="28"/>
        <v>3487105.5069349674</v>
      </c>
      <c r="M117" s="9">
        <f>T116*Параметры!$C$10/12</f>
        <v>760712.84009498218</v>
      </c>
      <c r="N117" s="9">
        <f t="shared" si="29"/>
        <v>2726392.6668399852</v>
      </c>
      <c r="O117" s="9">
        <f>MAX(0,N117*Параметры!$C$14)</f>
        <v>545278.53336799704</v>
      </c>
      <c r="P117" s="9">
        <f t="shared" si="30"/>
        <v>2181114.1334719881</v>
      </c>
      <c r="Q117" s="9">
        <v>0</v>
      </c>
      <c r="R117" s="9">
        <v>0</v>
      </c>
      <c r="S117" s="9">
        <f>MAX(0,MIN(Параметры!$C$26-M117,T116))</f>
        <v>394509.65501010371</v>
      </c>
      <c r="T117" s="9">
        <f t="shared" si="31"/>
        <v>45248260.750688829</v>
      </c>
      <c r="U117" s="9">
        <f t="shared" si="32"/>
        <v>980078.35475545563</v>
      </c>
      <c r="V117" s="9">
        <f t="shared" si="25"/>
        <v>25578338.523695454</v>
      </c>
    </row>
    <row r="118" spans="1:22" x14ac:dyDescent="0.25">
      <c r="A118" s="11">
        <v>117</v>
      </c>
      <c r="B118" s="11" t="s">
        <v>179</v>
      </c>
      <c r="C118" s="12" t="s">
        <v>75</v>
      </c>
      <c r="D118" s="13">
        <f>Параметры!$C$4*Параметры!$C$7*(1+Параметры!$C$8)^INT((A118-Параметры!$C$11-1)/12)</f>
        <v>5419523.6557053514</v>
      </c>
      <c r="E118" s="13">
        <f>D118/(1+Параметры!$C$13)</f>
        <v>4442232.504676518</v>
      </c>
      <c r="F118" s="13">
        <f t="shared" si="26"/>
        <v>977291.15102883335</v>
      </c>
      <c r="G118" s="13">
        <f>IF(AND(A118&gt;Параметры!$C$11,A118&lt;=Параметры!$C$11+3),Параметры!$C$28,0)</f>
        <v>0</v>
      </c>
      <c r="H118" s="13">
        <f t="shared" si="27"/>
        <v>977291.15102883335</v>
      </c>
      <c r="I118" s="13">
        <f>E118*Параметры!$C$16</f>
        <v>666334.87570147763</v>
      </c>
      <c r="J118" s="13">
        <f>Параметры!$C$27</f>
        <v>170765.02732240438</v>
      </c>
      <c r="K118" s="13">
        <f>MAX(0,Параметры!$C$20-Параметры!$C$27*MAX(0,A118-Параметры!$C$11-1))*Параметры!$C$15/12</f>
        <v>117714.02550091072</v>
      </c>
      <c r="L118" s="13">
        <f t="shared" si="28"/>
        <v>3487418.5761517249</v>
      </c>
      <c r="M118" s="13">
        <f>T117*Параметры!$C$10/12</f>
        <v>754137.67917814711</v>
      </c>
      <c r="N118" s="13">
        <f t="shared" si="29"/>
        <v>2733280.8969735778</v>
      </c>
      <c r="O118" s="13">
        <f>MAX(0,N118*Параметры!$C$14)</f>
        <v>546656.17939471558</v>
      </c>
      <c r="P118" s="13">
        <f t="shared" si="30"/>
        <v>2186624.7175788623</v>
      </c>
      <c r="Q118" s="13">
        <v>0</v>
      </c>
      <c r="R118" s="13">
        <v>0</v>
      </c>
      <c r="S118" s="13">
        <f>MAX(0,MIN(Параметры!$C$26-M118,T117))</f>
        <v>401084.81592693878</v>
      </c>
      <c r="T118" s="13">
        <f t="shared" si="31"/>
        <v>44847175.934761889</v>
      </c>
      <c r="U118" s="13">
        <f t="shared" si="32"/>
        <v>979013.77794549474</v>
      </c>
      <c r="V118" s="13">
        <f t="shared" si="25"/>
        <v>26557352.30164095</v>
      </c>
    </row>
    <row r="119" spans="1:22" x14ac:dyDescent="0.25">
      <c r="A119" s="14">
        <v>118</v>
      </c>
      <c r="B119" s="14" t="s">
        <v>180</v>
      </c>
      <c r="C119" s="15" t="s">
        <v>75</v>
      </c>
      <c r="D119" s="9">
        <f>Параметры!$C$4*Параметры!$C$7*(1+Параметры!$C$8)^INT((A119-Параметры!$C$11-1)/12)</f>
        <v>5419523.6557053514</v>
      </c>
      <c r="E119" s="9">
        <f>D119/(1+Параметры!$C$13)</f>
        <v>4442232.504676518</v>
      </c>
      <c r="F119" s="9">
        <f t="shared" si="26"/>
        <v>977291.15102883335</v>
      </c>
      <c r="G119" s="9">
        <f>IF(AND(A119&gt;Параметры!$C$11,A119&lt;=Параметры!$C$11+3),Параметры!$C$28,0)</f>
        <v>0</v>
      </c>
      <c r="H119" s="9">
        <f t="shared" si="27"/>
        <v>977291.15102883335</v>
      </c>
      <c r="I119" s="9">
        <f>E119*Параметры!$C$16</f>
        <v>666334.87570147763</v>
      </c>
      <c r="J119" s="9">
        <f>Параметры!$C$27</f>
        <v>170765.02732240438</v>
      </c>
      <c r="K119" s="9">
        <f>MAX(0,Параметры!$C$20-Параметры!$C$27*MAX(0,A119-Параметры!$C$11-1))*Параметры!$C$15/12</f>
        <v>117400.956284153</v>
      </c>
      <c r="L119" s="9">
        <f t="shared" si="28"/>
        <v>3487731.6453684829</v>
      </c>
      <c r="M119" s="9">
        <f>T118*Параметры!$C$10/12</f>
        <v>747452.93224603159</v>
      </c>
      <c r="N119" s="9">
        <f t="shared" si="29"/>
        <v>2740278.7131224512</v>
      </c>
      <c r="O119" s="9">
        <f>MAX(0,N119*Параметры!$C$14)</f>
        <v>548055.74262449029</v>
      </c>
      <c r="P119" s="9">
        <f t="shared" si="30"/>
        <v>2192222.9704979612</v>
      </c>
      <c r="Q119" s="9">
        <v>0</v>
      </c>
      <c r="R119" s="9">
        <v>0</v>
      </c>
      <c r="S119" s="9">
        <f>MAX(0,MIN(Параметры!$C$26-M119,T118))</f>
        <v>407769.56285905431</v>
      </c>
      <c r="T119" s="9">
        <f t="shared" si="31"/>
        <v>44439406.371902838</v>
      </c>
      <c r="U119" s="9">
        <f t="shared" si="32"/>
        <v>977927.28393247817</v>
      </c>
      <c r="V119" s="9">
        <f t="shared" si="25"/>
        <v>27535279.585573427</v>
      </c>
    </row>
    <row r="120" spans="1:22" x14ac:dyDescent="0.25">
      <c r="A120" s="11">
        <v>119</v>
      </c>
      <c r="B120" s="11" t="s">
        <v>181</v>
      </c>
      <c r="C120" s="12" t="s">
        <v>75</v>
      </c>
      <c r="D120" s="13">
        <f>Параметры!$C$4*Параметры!$C$7*(1+Параметры!$C$8)^INT((A120-Параметры!$C$11-1)/12)</f>
        <v>5419523.6557053514</v>
      </c>
      <c r="E120" s="13">
        <f>D120/(1+Параметры!$C$13)</f>
        <v>4442232.504676518</v>
      </c>
      <c r="F120" s="13">
        <f t="shared" si="26"/>
        <v>977291.15102883335</v>
      </c>
      <c r="G120" s="13">
        <f>IF(AND(A120&gt;Параметры!$C$11,A120&lt;=Параметры!$C$11+3),Параметры!$C$28,0)</f>
        <v>0</v>
      </c>
      <c r="H120" s="13">
        <f t="shared" si="27"/>
        <v>977291.15102883335</v>
      </c>
      <c r="I120" s="13">
        <f>E120*Параметры!$C$16</f>
        <v>666334.87570147763</v>
      </c>
      <c r="J120" s="13">
        <f>Параметры!$C$27</f>
        <v>170765.02732240438</v>
      </c>
      <c r="K120" s="13">
        <f>MAX(0,Параметры!$C$20-Параметры!$C$27*MAX(0,A120-Параметры!$C$11-1))*Параметры!$C$15/12</f>
        <v>117087.88706739526</v>
      </c>
      <c r="L120" s="13">
        <f t="shared" si="28"/>
        <v>3488044.7145852405</v>
      </c>
      <c r="M120" s="13">
        <f>T119*Параметры!$C$10/12</f>
        <v>740656.77286504733</v>
      </c>
      <c r="N120" s="13">
        <f t="shared" si="29"/>
        <v>2747387.9417201933</v>
      </c>
      <c r="O120" s="13">
        <f>MAX(0,N120*Параметры!$C$14)</f>
        <v>549477.5883440387</v>
      </c>
      <c r="P120" s="13">
        <f t="shared" si="30"/>
        <v>2197910.3533761548</v>
      </c>
      <c r="Q120" s="13">
        <v>0</v>
      </c>
      <c r="R120" s="13">
        <v>0</v>
      </c>
      <c r="S120" s="13">
        <f>MAX(0,MIN(Параметры!$C$26-M120,T119))</f>
        <v>414565.72224003857</v>
      </c>
      <c r="T120" s="13">
        <f t="shared" si="31"/>
        <v>44024840.6496628</v>
      </c>
      <c r="U120" s="13">
        <f t="shared" si="32"/>
        <v>976818.50742968731</v>
      </c>
      <c r="V120" s="13">
        <f t="shared" si="25"/>
        <v>28512098.093003117</v>
      </c>
    </row>
    <row r="121" spans="1:22" x14ac:dyDescent="0.25">
      <c r="A121" s="14">
        <v>120</v>
      </c>
      <c r="B121" s="14" t="s">
        <v>182</v>
      </c>
      <c r="C121" s="15" t="s">
        <v>75</v>
      </c>
      <c r="D121" s="9">
        <f>Параметры!$C$4*Параметры!$C$7*(1+Параметры!$C$8)^INT((A121-Параметры!$C$11-1)/12)</f>
        <v>5419523.6557053514</v>
      </c>
      <c r="E121" s="9">
        <f>D121/(1+Параметры!$C$13)</f>
        <v>4442232.504676518</v>
      </c>
      <c r="F121" s="9">
        <f t="shared" si="26"/>
        <v>977291.15102883335</v>
      </c>
      <c r="G121" s="9">
        <f>IF(AND(A121&gt;Параметры!$C$11,A121&lt;=Параметры!$C$11+3),Параметры!$C$28,0)</f>
        <v>0</v>
      </c>
      <c r="H121" s="9">
        <f t="shared" si="27"/>
        <v>977291.15102883335</v>
      </c>
      <c r="I121" s="9">
        <f>E121*Параметры!$C$16</f>
        <v>666334.87570147763</v>
      </c>
      <c r="J121" s="9">
        <f>Параметры!$C$27</f>
        <v>170765.02732240438</v>
      </c>
      <c r="K121" s="9">
        <f>MAX(0,Параметры!$C$20-Параметры!$C$27*MAX(0,A121-Параметры!$C$11-1))*Параметры!$C$15/12</f>
        <v>116774.81785063753</v>
      </c>
      <c r="L121" s="9">
        <f t="shared" si="28"/>
        <v>3488357.783801998</v>
      </c>
      <c r="M121" s="9">
        <f>T120*Параметры!$C$10/12</f>
        <v>733747.34416104667</v>
      </c>
      <c r="N121" s="9">
        <f t="shared" si="29"/>
        <v>2754610.4396409513</v>
      </c>
      <c r="O121" s="9">
        <f>MAX(0,N121*Параметры!$C$14)</f>
        <v>550922.08792819025</v>
      </c>
      <c r="P121" s="9">
        <f t="shared" si="30"/>
        <v>2203688.351712761</v>
      </c>
      <c r="Q121" s="9">
        <v>0</v>
      </c>
      <c r="R121" s="9">
        <v>0</v>
      </c>
      <c r="S121" s="9">
        <f>MAX(0,MIN(Параметры!$C$26-M121,T120))</f>
        <v>421475.15094403923</v>
      </c>
      <c r="T121" s="9">
        <f t="shared" si="31"/>
        <v>43603365.498718761</v>
      </c>
      <c r="U121" s="9">
        <f t="shared" si="32"/>
        <v>975687.07706229296</v>
      </c>
      <c r="V121" s="9">
        <f t="shared" si="25"/>
        <v>29487785.17006541</v>
      </c>
    </row>
    <row r="122" spans="1:22" x14ac:dyDescent="0.25">
      <c r="A122" s="11">
        <v>121</v>
      </c>
      <c r="B122" s="11" t="s">
        <v>183</v>
      </c>
      <c r="C122" s="12" t="s">
        <v>75</v>
      </c>
      <c r="D122" s="13">
        <f>Параметры!$C$4*Параметры!$C$7*(1+Параметры!$C$8)^INT((A122-Параметры!$C$11-1)/12)</f>
        <v>5853085.5481617795</v>
      </c>
      <c r="E122" s="13">
        <f>D122/(1+Параметры!$C$13)</f>
        <v>4797611.1050506392</v>
      </c>
      <c r="F122" s="13">
        <f t="shared" si="26"/>
        <v>1055474.4431111403</v>
      </c>
      <c r="G122" s="13">
        <f>IF(AND(A122&gt;Параметры!$C$11,A122&lt;=Параметры!$C$11+3),Параметры!$C$28,0)</f>
        <v>0</v>
      </c>
      <c r="H122" s="13">
        <f t="shared" si="27"/>
        <v>1055474.4431111403</v>
      </c>
      <c r="I122" s="13">
        <f>E122*Параметры!$C$16</f>
        <v>719641.66575759591</v>
      </c>
      <c r="J122" s="13">
        <f>Параметры!$C$27</f>
        <v>170765.02732240438</v>
      </c>
      <c r="K122" s="13">
        <f>MAX(0,Параметры!$C$20-Параметры!$C$27*MAX(0,A122-Параметры!$C$11-1))*Параметры!$C$15/12</f>
        <v>116461.74863387978</v>
      </c>
      <c r="L122" s="13">
        <f t="shared" si="28"/>
        <v>3790742.663336759</v>
      </c>
      <c r="M122" s="13">
        <f>T121*Параметры!$C$10/12</f>
        <v>726722.75831197936</v>
      </c>
      <c r="N122" s="13">
        <f t="shared" si="29"/>
        <v>3064019.9050247795</v>
      </c>
      <c r="O122" s="13">
        <f>MAX(0,N122*Параметры!$C$14)</f>
        <v>612803.98100495595</v>
      </c>
      <c r="P122" s="13">
        <f t="shared" si="30"/>
        <v>2451215.9240198238</v>
      </c>
      <c r="Q122" s="13">
        <v>0</v>
      </c>
      <c r="R122" s="13">
        <v>0</v>
      </c>
      <c r="S122" s="13">
        <f>MAX(0,MIN(Параметры!$C$26-M122,T121))</f>
        <v>428499.73679310654</v>
      </c>
      <c r="T122" s="13">
        <f t="shared" si="31"/>
        <v>43174865.761925653</v>
      </c>
      <c r="U122" s="13">
        <f t="shared" si="32"/>
        <v>1138006.7714379816</v>
      </c>
      <c r="V122" s="13">
        <f t="shared" si="25"/>
        <v>30625791.941503391</v>
      </c>
    </row>
    <row r="123" spans="1:22" x14ac:dyDescent="0.25">
      <c r="A123" s="14">
        <v>122</v>
      </c>
      <c r="B123" s="14" t="s">
        <v>184</v>
      </c>
      <c r="C123" s="15" t="s">
        <v>75</v>
      </c>
      <c r="D123" s="9">
        <f>Параметры!$C$4*Параметры!$C$7*(1+Параметры!$C$8)^INT((A123-Параметры!$C$11-1)/12)</f>
        <v>5853085.5481617795</v>
      </c>
      <c r="E123" s="9">
        <f>D123/(1+Параметры!$C$13)</f>
        <v>4797611.1050506392</v>
      </c>
      <c r="F123" s="9">
        <f t="shared" si="26"/>
        <v>1055474.4431111403</v>
      </c>
      <c r="G123" s="9">
        <f>IF(AND(A123&gt;Параметры!$C$11,A123&lt;=Параметры!$C$11+3),Параметры!$C$28,0)</f>
        <v>0</v>
      </c>
      <c r="H123" s="9">
        <f t="shared" si="27"/>
        <v>1055474.4431111403</v>
      </c>
      <c r="I123" s="9">
        <f>E123*Параметры!$C$16</f>
        <v>719641.66575759591</v>
      </c>
      <c r="J123" s="9">
        <f>Параметры!$C$27</f>
        <v>170765.02732240438</v>
      </c>
      <c r="K123" s="9">
        <f>MAX(0,Параметры!$C$20-Параметры!$C$27*MAX(0,A123-Параметры!$C$11-1))*Параметры!$C$15/12</f>
        <v>116148.67941712202</v>
      </c>
      <c r="L123" s="9">
        <f t="shared" si="28"/>
        <v>3791055.7325535165</v>
      </c>
      <c r="M123" s="9">
        <f>T122*Параметры!$C$10/12</f>
        <v>719581.09603209421</v>
      </c>
      <c r="N123" s="9">
        <f t="shared" si="29"/>
        <v>3071474.6365214223</v>
      </c>
      <c r="O123" s="9">
        <f>MAX(0,N123*Параметры!$C$14)</f>
        <v>614294.92730428453</v>
      </c>
      <c r="P123" s="9">
        <f t="shared" si="30"/>
        <v>2457179.7092171377</v>
      </c>
      <c r="Q123" s="9">
        <v>0</v>
      </c>
      <c r="R123" s="9">
        <v>0</v>
      </c>
      <c r="S123" s="9">
        <f>MAX(0,MIN(Параметры!$C$26-M123,T122))</f>
        <v>435641.39907299168</v>
      </c>
      <c r="T123" s="9">
        <f t="shared" si="31"/>
        <v>42739224.362852663</v>
      </c>
      <c r="U123" s="9">
        <f t="shared" si="32"/>
        <v>1136828.8943554102</v>
      </c>
      <c r="V123" s="9">
        <f t="shared" si="25"/>
        <v>31762620.8358588</v>
      </c>
    </row>
    <row r="124" spans="1:22" x14ac:dyDescent="0.25">
      <c r="A124" s="11">
        <v>123</v>
      </c>
      <c r="B124" s="11" t="s">
        <v>185</v>
      </c>
      <c r="C124" s="12" t="s">
        <v>75</v>
      </c>
      <c r="D124" s="13">
        <f>Параметры!$C$4*Параметры!$C$7*(1+Параметры!$C$8)^INT((A124-Параметры!$C$11-1)/12)</f>
        <v>5853085.5481617795</v>
      </c>
      <c r="E124" s="13">
        <f>D124/(1+Параметры!$C$13)</f>
        <v>4797611.1050506392</v>
      </c>
      <c r="F124" s="13">
        <f t="shared" si="26"/>
        <v>1055474.4431111403</v>
      </c>
      <c r="G124" s="13">
        <f>IF(AND(A124&gt;Параметры!$C$11,A124&lt;=Параметры!$C$11+3),Параметры!$C$28,0)</f>
        <v>0</v>
      </c>
      <c r="H124" s="13">
        <f t="shared" si="27"/>
        <v>1055474.4431111403</v>
      </c>
      <c r="I124" s="13">
        <f>E124*Параметры!$C$16</f>
        <v>719641.66575759591</v>
      </c>
      <c r="J124" s="13">
        <f>Параметры!$C$27</f>
        <v>170765.02732240438</v>
      </c>
      <c r="K124" s="13">
        <f>MAX(0,Параметры!$C$20-Параметры!$C$27*MAX(0,A124-Параметры!$C$11-1))*Параметры!$C$15/12</f>
        <v>115835.6102003643</v>
      </c>
      <c r="L124" s="13">
        <f t="shared" si="28"/>
        <v>3791368.8017702745</v>
      </c>
      <c r="M124" s="13">
        <f>T123*Параметры!$C$10/12</f>
        <v>712320.40604754444</v>
      </c>
      <c r="N124" s="13">
        <f t="shared" si="29"/>
        <v>3079048.3957227301</v>
      </c>
      <c r="O124" s="13">
        <f>MAX(0,N124*Параметры!$C$14)</f>
        <v>615809.67914454604</v>
      </c>
      <c r="P124" s="13">
        <f t="shared" si="30"/>
        <v>2463238.7165781842</v>
      </c>
      <c r="Q124" s="13">
        <v>0</v>
      </c>
      <c r="R124" s="13">
        <v>0</v>
      </c>
      <c r="S124" s="13">
        <f>MAX(0,MIN(Параметры!$C$26-M124,T123))</f>
        <v>442902.08905754145</v>
      </c>
      <c r="T124" s="13">
        <f t="shared" si="31"/>
        <v>42296322.27379512</v>
      </c>
      <c r="U124" s="13">
        <f t="shared" si="32"/>
        <v>1135627.211731907</v>
      </c>
      <c r="V124" s="13">
        <f t="shared" si="25"/>
        <v>32898248.047590706</v>
      </c>
    </row>
    <row r="125" spans="1:22" x14ac:dyDescent="0.25">
      <c r="A125" s="14">
        <v>124</v>
      </c>
      <c r="B125" s="14" t="s">
        <v>186</v>
      </c>
      <c r="C125" s="15" t="s">
        <v>75</v>
      </c>
      <c r="D125" s="9">
        <f>Параметры!$C$4*Параметры!$C$7*(1+Параметры!$C$8)^INT((A125-Параметры!$C$11-1)/12)</f>
        <v>5853085.5481617795</v>
      </c>
      <c r="E125" s="9">
        <f>D125/(1+Параметры!$C$13)</f>
        <v>4797611.1050506392</v>
      </c>
      <c r="F125" s="9">
        <f t="shared" si="26"/>
        <v>1055474.4431111403</v>
      </c>
      <c r="G125" s="9">
        <f>IF(AND(A125&gt;Параметры!$C$11,A125&lt;=Параметры!$C$11+3),Параметры!$C$28,0)</f>
        <v>0</v>
      </c>
      <c r="H125" s="9">
        <f t="shared" si="27"/>
        <v>1055474.4431111403</v>
      </c>
      <c r="I125" s="9">
        <f>E125*Параметры!$C$16</f>
        <v>719641.66575759591</v>
      </c>
      <c r="J125" s="9">
        <f>Параметры!$C$27</f>
        <v>170765.02732240438</v>
      </c>
      <c r="K125" s="9">
        <f>MAX(0,Параметры!$C$20-Параметры!$C$27*MAX(0,A125-Параметры!$C$11-1))*Параметры!$C$15/12</f>
        <v>115522.54098360654</v>
      </c>
      <c r="L125" s="9">
        <f t="shared" si="28"/>
        <v>3791681.8709870321</v>
      </c>
      <c r="M125" s="9">
        <f>T124*Параметры!$C$10/12</f>
        <v>704938.70456325205</v>
      </c>
      <c r="N125" s="9">
        <f t="shared" si="29"/>
        <v>3086743.1664237799</v>
      </c>
      <c r="O125" s="9">
        <f>MAX(0,N125*Параметры!$C$14)</f>
        <v>617348.63328475598</v>
      </c>
      <c r="P125" s="9">
        <f t="shared" si="30"/>
        <v>2469394.5331390239</v>
      </c>
      <c r="Q125" s="9">
        <v>0</v>
      </c>
      <c r="R125" s="9">
        <v>0</v>
      </c>
      <c r="S125" s="9">
        <f>MAX(0,MIN(Параметры!$C$26-M125,T124))</f>
        <v>450283.79054183385</v>
      </c>
      <c r="T125" s="9">
        <f t="shared" si="31"/>
        <v>41846038.483253285</v>
      </c>
      <c r="U125" s="9">
        <f t="shared" si="32"/>
        <v>1134401.3268084545</v>
      </c>
      <c r="V125" s="9">
        <f t="shared" si="25"/>
        <v>34032649.374399163</v>
      </c>
    </row>
    <row r="126" spans="1:22" x14ac:dyDescent="0.25">
      <c r="A126" s="11">
        <v>125</v>
      </c>
      <c r="B126" s="11" t="s">
        <v>187</v>
      </c>
      <c r="C126" s="12" t="s">
        <v>75</v>
      </c>
      <c r="D126" s="13">
        <f>Параметры!$C$4*Параметры!$C$7*(1+Параметры!$C$8)^INT((A126-Параметры!$C$11-1)/12)</f>
        <v>5853085.5481617795</v>
      </c>
      <c r="E126" s="13">
        <f>D126/(1+Параметры!$C$13)</f>
        <v>4797611.1050506392</v>
      </c>
      <c r="F126" s="13">
        <f t="shared" si="26"/>
        <v>1055474.4431111403</v>
      </c>
      <c r="G126" s="13">
        <f>IF(AND(A126&gt;Параметры!$C$11,A126&lt;=Параметры!$C$11+3),Параметры!$C$28,0)</f>
        <v>0</v>
      </c>
      <c r="H126" s="13">
        <f t="shared" si="27"/>
        <v>1055474.4431111403</v>
      </c>
      <c r="I126" s="13">
        <f>E126*Параметры!$C$16</f>
        <v>719641.66575759591</v>
      </c>
      <c r="J126" s="13">
        <f>Параметры!$C$27</f>
        <v>170765.02732240438</v>
      </c>
      <c r="K126" s="13">
        <f>MAX(0,Параметры!$C$20-Параметры!$C$27*MAX(0,A126-Параметры!$C$11-1))*Параметры!$C$15/12</f>
        <v>115209.47176684882</v>
      </c>
      <c r="L126" s="13">
        <f t="shared" si="28"/>
        <v>3791994.9402037896</v>
      </c>
      <c r="M126" s="13">
        <f>T125*Параметры!$C$10/12</f>
        <v>697433.97472088819</v>
      </c>
      <c r="N126" s="13">
        <f t="shared" si="29"/>
        <v>3094560.9654829013</v>
      </c>
      <c r="O126" s="13">
        <f>MAX(0,N126*Параметры!$C$14)</f>
        <v>618912.19309658033</v>
      </c>
      <c r="P126" s="13">
        <f t="shared" si="30"/>
        <v>2475648.7723863209</v>
      </c>
      <c r="Q126" s="13">
        <v>0</v>
      </c>
      <c r="R126" s="13">
        <v>0</v>
      </c>
      <c r="S126" s="13">
        <f>MAX(0,MIN(Параметры!$C$26-M126,T125))</f>
        <v>457788.52038419771</v>
      </c>
      <c r="T126" s="13">
        <f t="shared" si="31"/>
        <v>41388249.962869085</v>
      </c>
      <c r="U126" s="13">
        <f t="shared" si="32"/>
        <v>1133150.8362133875</v>
      </c>
      <c r="V126" s="13">
        <f t="shared" si="25"/>
        <v>35165800.21061255</v>
      </c>
    </row>
    <row r="127" spans="1:22" x14ac:dyDescent="0.25">
      <c r="A127" s="14">
        <v>126</v>
      </c>
      <c r="B127" s="14" t="s">
        <v>188</v>
      </c>
      <c r="C127" s="15" t="s">
        <v>75</v>
      </c>
      <c r="D127" s="9">
        <f>Параметры!$C$4*Параметры!$C$7*(1+Параметры!$C$8)^INT((A127-Параметры!$C$11-1)/12)</f>
        <v>5853085.5481617795</v>
      </c>
      <c r="E127" s="9">
        <f>D127/(1+Параметры!$C$13)</f>
        <v>4797611.1050506392</v>
      </c>
      <c r="F127" s="9">
        <f t="shared" si="26"/>
        <v>1055474.4431111403</v>
      </c>
      <c r="G127" s="9">
        <f>IF(AND(A127&gt;Параметры!$C$11,A127&lt;=Параметры!$C$11+3),Параметры!$C$28,0)</f>
        <v>0</v>
      </c>
      <c r="H127" s="9">
        <f t="shared" si="27"/>
        <v>1055474.4431111403</v>
      </c>
      <c r="I127" s="9">
        <f>E127*Параметры!$C$16</f>
        <v>719641.66575759591</v>
      </c>
      <c r="J127" s="9">
        <f>Параметры!$C$27</f>
        <v>170765.02732240438</v>
      </c>
      <c r="K127" s="9">
        <f>MAX(0,Параметры!$C$20-Параметры!$C$27*MAX(0,A127-Параметры!$C$11-1))*Параметры!$C$15/12</f>
        <v>114896.40255009105</v>
      </c>
      <c r="L127" s="9">
        <f t="shared" si="28"/>
        <v>3792308.0094205476</v>
      </c>
      <c r="M127" s="9">
        <f>T126*Параметры!$C$10/12</f>
        <v>689804.16604781814</v>
      </c>
      <c r="N127" s="9">
        <f t="shared" si="29"/>
        <v>3102503.8433727296</v>
      </c>
      <c r="O127" s="9">
        <f>MAX(0,N127*Параметры!$C$14)</f>
        <v>620500.76867454592</v>
      </c>
      <c r="P127" s="9">
        <f t="shared" si="30"/>
        <v>2482003.0746981837</v>
      </c>
      <c r="Q127" s="9">
        <v>0</v>
      </c>
      <c r="R127" s="9">
        <v>0</v>
      </c>
      <c r="S127" s="9">
        <f>MAX(0,MIN(Параметры!$C$26-M127,T126))</f>
        <v>465418.32905726775</v>
      </c>
      <c r="T127" s="9">
        <f t="shared" si="31"/>
        <v>40922831.633811817</v>
      </c>
      <c r="U127" s="9">
        <f t="shared" si="32"/>
        <v>1131875.3298521801</v>
      </c>
      <c r="V127" s="9">
        <f t="shared" si="25"/>
        <v>36297675.540464729</v>
      </c>
    </row>
    <row r="128" spans="1:22" x14ac:dyDescent="0.25">
      <c r="A128" s="11">
        <v>127</v>
      </c>
      <c r="B128" s="11" t="s">
        <v>189</v>
      </c>
      <c r="C128" s="12" t="s">
        <v>75</v>
      </c>
      <c r="D128" s="13">
        <f>Параметры!$C$4*Параметры!$C$7*(1+Параметры!$C$8)^INT((A128-Параметры!$C$11-1)/12)</f>
        <v>5853085.5481617795</v>
      </c>
      <c r="E128" s="13">
        <f>D128/(1+Параметры!$C$13)</f>
        <v>4797611.1050506392</v>
      </c>
      <c r="F128" s="13">
        <f t="shared" si="26"/>
        <v>1055474.4431111403</v>
      </c>
      <c r="G128" s="13">
        <f>IF(AND(A128&gt;Параметры!$C$11,A128&lt;=Параметры!$C$11+3),Параметры!$C$28,0)</f>
        <v>0</v>
      </c>
      <c r="H128" s="13">
        <f t="shared" si="27"/>
        <v>1055474.4431111403</v>
      </c>
      <c r="I128" s="13">
        <f>E128*Параметры!$C$16</f>
        <v>719641.66575759591</v>
      </c>
      <c r="J128" s="13">
        <f>Параметры!$C$27</f>
        <v>170765.02732240438</v>
      </c>
      <c r="K128" s="13">
        <f>MAX(0,Параметры!$C$20-Параметры!$C$27*MAX(0,A128-Параметры!$C$11-1))*Параметры!$C$15/12</f>
        <v>114583.33333333333</v>
      </c>
      <c r="L128" s="13">
        <f t="shared" si="28"/>
        <v>3792621.0786373052</v>
      </c>
      <c r="M128" s="13">
        <f>T127*Параметры!$C$10/12</f>
        <v>682047.19389686361</v>
      </c>
      <c r="N128" s="13">
        <f t="shared" si="29"/>
        <v>3110573.8847404416</v>
      </c>
      <c r="O128" s="13">
        <f>MAX(0,N128*Параметры!$C$14)</f>
        <v>622114.77694808831</v>
      </c>
      <c r="P128" s="13">
        <f t="shared" si="30"/>
        <v>2488459.1077923533</v>
      </c>
      <c r="Q128" s="13">
        <v>0</v>
      </c>
      <c r="R128" s="13">
        <v>0</v>
      </c>
      <c r="S128" s="13">
        <f>MAX(0,MIN(Параметры!$C$26-M128,T127))</f>
        <v>473175.30120822228</v>
      </c>
      <c r="T128" s="13">
        <f t="shared" si="31"/>
        <v>40449656.332603596</v>
      </c>
      <c r="U128" s="13">
        <f t="shared" si="32"/>
        <v>1130574.3907953952</v>
      </c>
      <c r="V128" s="13">
        <f t="shared" si="25"/>
        <v>37428249.931260124</v>
      </c>
    </row>
    <row r="129" spans="1:22" x14ac:dyDescent="0.25">
      <c r="A129" s="14">
        <v>128</v>
      </c>
      <c r="B129" s="14" t="s">
        <v>190</v>
      </c>
      <c r="C129" s="15" t="s">
        <v>75</v>
      </c>
      <c r="D129" s="9">
        <f>Параметры!$C$4*Параметры!$C$7*(1+Параметры!$C$8)^INT((A129-Параметры!$C$11-1)/12)</f>
        <v>5853085.5481617795</v>
      </c>
      <c r="E129" s="9">
        <f>D129/(1+Параметры!$C$13)</f>
        <v>4797611.1050506392</v>
      </c>
      <c r="F129" s="9">
        <f t="shared" si="26"/>
        <v>1055474.4431111403</v>
      </c>
      <c r="G129" s="9">
        <f>IF(AND(A129&gt;Параметры!$C$11,A129&lt;=Параметры!$C$11+3),Параметры!$C$28,0)</f>
        <v>0</v>
      </c>
      <c r="H129" s="9">
        <f t="shared" si="27"/>
        <v>1055474.4431111403</v>
      </c>
      <c r="I129" s="9">
        <f>E129*Параметры!$C$16</f>
        <v>719641.66575759591</v>
      </c>
      <c r="J129" s="9">
        <f>Параметры!$C$27</f>
        <v>170765.02732240438</v>
      </c>
      <c r="K129" s="9">
        <f>MAX(0,Параметры!$C$20-Параметры!$C$27*MAX(0,A129-Параметры!$C$11-1))*Параметры!$C$15/12</f>
        <v>114270.26411657558</v>
      </c>
      <c r="L129" s="9">
        <f t="shared" si="28"/>
        <v>3792934.1478540632</v>
      </c>
      <c r="M129" s="9">
        <f>T128*Параметры!$C$10/12</f>
        <v>674160.93887672666</v>
      </c>
      <c r="N129" s="9">
        <f t="shared" si="29"/>
        <v>3118773.2089773365</v>
      </c>
      <c r="O129" s="9">
        <f>MAX(0,N129*Параметры!$C$14)</f>
        <v>623754.64179546735</v>
      </c>
      <c r="P129" s="9">
        <f t="shared" si="30"/>
        <v>2495018.5671818694</v>
      </c>
      <c r="Q129" s="9">
        <v>0</v>
      </c>
      <c r="R129" s="9">
        <v>0</v>
      </c>
      <c r="S129" s="9">
        <f>MAX(0,MIN(Параметры!$C$26-M129,T128))</f>
        <v>481061.55622835923</v>
      </c>
      <c r="T129" s="9">
        <f t="shared" si="31"/>
        <v>39968594.776375234</v>
      </c>
      <c r="U129" s="9">
        <f t="shared" si="32"/>
        <v>1129247.5951647745</v>
      </c>
      <c r="V129" s="9">
        <f t="shared" si="25"/>
        <v>38557497.5264249</v>
      </c>
    </row>
    <row r="130" spans="1:22" x14ac:dyDescent="0.25">
      <c r="A130" s="11">
        <v>129</v>
      </c>
      <c r="B130" s="11" t="s">
        <v>191</v>
      </c>
      <c r="C130" s="12" t="s">
        <v>75</v>
      </c>
      <c r="D130" s="13">
        <f>Параметры!$C$4*Параметры!$C$7*(1+Параметры!$C$8)^INT((A130-Параметры!$C$11-1)/12)</f>
        <v>5853085.5481617795</v>
      </c>
      <c r="E130" s="13">
        <f>D130/(1+Параметры!$C$13)</f>
        <v>4797611.1050506392</v>
      </c>
      <c r="F130" s="13">
        <f t="shared" si="26"/>
        <v>1055474.4431111403</v>
      </c>
      <c r="G130" s="13">
        <f>IF(AND(A130&gt;Параметры!$C$11,A130&lt;=Параметры!$C$11+3),Параметры!$C$28,0)</f>
        <v>0</v>
      </c>
      <c r="H130" s="13">
        <f t="shared" si="27"/>
        <v>1055474.4431111403</v>
      </c>
      <c r="I130" s="13">
        <f>E130*Параметры!$C$16</f>
        <v>719641.66575759591</v>
      </c>
      <c r="J130" s="13">
        <f>Параметры!$C$27</f>
        <v>170765.02732240438</v>
      </c>
      <c r="K130" s="13">
        <f>MAX(0,Параметры!$C$20-Параметры!$C$27*MAX(0,A130-Параметры!$C$11-1))*Параметры!$C$15/12</f>
        <v>113957.19489981786</v>
      </c>
      <c r="L130" s="13">
        <f t="shared" si="28"/>
        <v>3793247.2170708207</v>
      </c>
      <c r="M130" s="13">
        <f>T129*Параметры!$C$10/12</f>
        <v>666143.24627292063</v>
      </c>
      <c r="N130" s="13">
        <f t="shared" si="29"/>
        <v>3127103.9707979001</v>
      </c>
      <c r="O130" s="13">
        <f>MAX(0,N130*Параметры!$C$14)</f>
        <v>625420.79415958002</v>
      </c>
      <c r="P130" s="13">
        <f t="shared" si="30"/>
        <v>2501683.1766383201</v>
      </c>
      <c r="Q130" s="13">
        <v>0</v>
      </c>
      <c r="R130" s="13">
        <v>0</v>
      </c>
      <c r="S130" s="13">
        <f>MAX(0,MIN(Параметры!$C$26-M130,T129))</f>
        <v>489079.24883216526</v>
      </c>
      <c r="T130" s="13">
        <f t="shared" si="31"/>
        <v>39479515.527543068</v>
      </c>
      <c r="U130" s="13">
        <f t="shared" si="32"/>
        <v>1127894.5120174191</v>
      </c>
      <c r="V130" s="13">
        <f t="shared" si="25"/>
        <v>39685392.038442321</v>
      </c>
    </row>
    <row r="131" spans="1:22" x14ac:dyDescent="0.25">
      <c r="A131" s="14">
        <v>130</v>
      </c>
      <c r="B131" s="14" t="s">
        <v>192</v>
      </c>
      <c r="C131" s="15" t="s">
        <v>75</v>
      </c>
      <c r="D131" s="9">
        <f>Параметры!$C$4*Параметры!$C$7*(1+Параметры!$C$8)^INT((A131-Параметры!$C$11-1)/12)</f>
        <v>5853085.5481617795</v>
      </c>
      <c r="E131" s="9">
        <f>D131/(1+Параметры!$C$13)</f>
        <v>4797611.1050506392</v>
      </c>
      <c r="F131" s="9">
        <f t="shared" si="26"/>
        <v>1055474.4431111403</v>
      </c>
      <c r="G131" s="9">
        <f>IF(AND(A131&gt;Параметры!$C$11,A131&lt;=Параметры!$C$11+3),Параметры!$C$28,0)</f>
        <v>0</v>
      </c>
      <c r="H131" s="9">
        <f t="shared" si="27"/>
        <v>1055474.4431111403</v>
      </c>
      <c r="I131" s="9">
        <f>E131*Параметры!$C$16</f>
        <v>719641.66575759591</v>
      </c>
      <c r="J131" s="9">
        <f>Параметры!$C$27</f>
        <v>170765.02732240438</v>
      </c>
      <c r="K131" s="9">
        <f>MAX(0,Параметры!$C$20-Параметры!$C$27*MAX(0,A131-Параметры!$C$11-1))*Параметры!$C$15/12</f>
        <v>113644.12568306009</v>
      </c>
      <c r="L131" s="9">
        <f t="shared" si="28"/>
        <v>3793560.2862875788</v>
      </c>
      <c r="M131" s="9">
        <f>T130*Параметры!$C$10/12</f>
        <v>657991.92545905116</v>
      </c>
      <c r="N131" s="9">
        <f t="shared" si="29"/>
        <v>3135568.3608285277</v>
      </c>
      <c r="O131" s="9">
        <f>MAX(0,N131*Параметры!$C$14)</f>
        <v>627113.67216570559</v>
      </c>
      <c r="P131" s="9">
        <f t="shared" si="30"/>
        <v>2508454.6886628224</v>
      </c>
      <c r="Q131" s="9">
        <v>0</v>
      </c>
      <c r="R131" s="9">
        <v>0</v>
      </c>
      <c r="S131" s="9">
        <f>MAX(0,MIN(Параметры!$C$26-M131,T130))</f>
        <v>497230.56964603474</v>
      </c>
      <c r="T131" s="9">
        <f t="shared" si="31"/>
        <v>38982284.95789703</v>
      </c>
      <c r="U131" s="9">
        <f t="shared" si="32"/>
        <v>1126514.7032280518</v>
      </c>
      <c r="V131" s="9">
        <f t="shared" ref="V131:V162" si="33">V130+U131</f>
        <v>40811906.74167037</v>
      </c>
    </row>
    <row r="132" spans="1:22" x14ac:dyDescent="0.25">
      <c r="A132" s="11">
        <v>131</v>
      </c>
      <c r="B132" s="11" t="s">
        <v>193</v>
      </c>
      <c r="C132" s="12" t="s">
        <v>75</v>
      </c>
      <c r="D132" s="13">
        <f>Параметры!$C$4*Параметры!$C$7*(1+Параметры!$C$8)^INT((A132-Параметры!$C$11-1)/12)</f>
        <v>5853085.5481617795</v>
      </c>
      <c r="E132" s="13">
        <f>D132/(1+Параметры!$C$13)</f>
        <v>4797611.1050506392</v>
      </c>
      <c r="F132" s="13">
        <f t="shared" si="26"/>
        <v>1055474.4431111403</v>
      </c>
      <c r="G132" s="13">
        <f>IF(AND(A132&gt;Параметры!$C$11,A132&lt;=Параметры!$C$11+3),Параметры!$C$28,0)</f>
        <v>0</v>
      </c>
      <c r="H132" s="13">
        <f t="shared" si="27"/>
        <v>1055474.4431111403</v>
      </c>
      <c r="I132" s="13">
        <f>E132*Параметры!$C$16</f>
        <v>719641.66575759591</v>
      </c>
      <c r="J132" s="13">
        <f>Параметры!$C$27</f>
        <v>170765.02732240438</v>
      </c>
      <c r="K132" s="13">
        <f>MAX(0,Параметры!$C$20-Параметры!$C$27*MAX(0,A132-Параметры!$C$11-1))*Параметры!$C$15/12</f>
        <v>113331.05646630237</v>
      </c>
      <c r="L132" s="13">
        <f t="shared" si="28"/>
        <v>3793873.3555043363</v>
      </c>
      <c r="M132" s="13">
        <f>T131*Параметры!$C$10/12</f>
        <v>649704.74929828383</v>
      </c>
      <c r="N132" s="13">
        <f t="shared" si="29"/>
        <v>3144168.6062060525</v>
      </c>
      <c r="O132" s="13">
        <f>MAX(0,N132*Параметры!$C$14)</f>
        <v>628833.72124121059</v>
      </c>
      <c r="P132" s="13">
        <f t="shared" si="30"/>
        <v>2515334.8849648419</v>
      </c>
      <c r="Q132" s="13">
        <v>0</v>
      </c>
      <c r="R132" s="13">
        <v>0</v>
      </c>
      <c r="S132" s="13">
        <f>MAX(0,MIN(Параметры!$C$26-M132,T131))</f>
        <v>505517.74580680206</v>
      </c>
      <c r="T132" s="13">
        <f t="shared" si="31"/>
        <v>38476767.212090224</v>
      </c>
      <c r="U132" s="13">
        <f t="shared" si="32"/>
        <v>1125107.7233693041</v>
      </c>
      <c r="V132" s="13">
        <f t="shared" si="33"/>
        <v>41937014.46503967</v>
      </c>
    </row>
    <row r="133" spans="1:22" x14ac:dyDescent="0.25">
      <c r="A133" s="14">
        <v>132</v>
      </c>
      <c r="B133" s="14" t="s">
        <v>194</v>
      </c>
      <c r="C133" s="15" t="s">
        <v>75</v>
      </c>
      <c r="D133" s="9">
        <f>Параметры!$C$4*Параметры!$C$7*(1+Параметры!$C$8)^INT((A133-Параметры!$C$11-1)/12)</f>
        <v>5853085.5481617795</v>
      </c>
      <c r="E133" s="9">
        <f>D133/(1+Параметры!$C$13)</f>
        <v>4797611.1050506392</v>
      </c>
      <c r="F133" s="9">
        <f t="shared" si="26"/>
        <v>1055474.4431111403</v>
      </c>
      <c r="G133" s="9">
        <f>IF(AND(A133&gt;Параметры!$C$11,A133&lt;=Параметры!$C$11+3),Параметры!$C$28,0)</f>
        <v>0</v>
      </c>
      <c r="H133" s="9">
        <f t="shared" si="27"/>
        <v>1055474.4431111403</v>
      </c>
      <c r="I133" s="9">
        <f>E133*Параметры!$C$16</f>
        <v>719641.66575759591</v>
      </c>
      <c r="J133" s="9">
        <f>Параметры!$C$27</f>
        <v>170765.02732240438</v>
      </c>
      <c r="K133" s="9">
        <f>MAX(0,Параметры!$C$20-Параметры!$C$27*MAX(0,A133-Параметры!$C$11-1))*Параметры!$C$15/12</f>
        <v>113017.9872495446</v>
      </c>
      <c r="L133" s="9">
        <f t="shared" si="28"/>
        <v>3794186.4247210938</v>
      </c>
      <c r="M133" s="9">
        <f>T132*Параметры!$C$10/12</f>
        <v>641279.45353483711</v>
      </c>
      <c r="N133" s="9">
        <f t="shared" si="29"/>
        <v>3152906.971186257</v>
      </c>
      <c r="O133" s="9">
        <f>MAX(0,N133*Параметры!$C$14)</f>
        <v>630581.39423725149</v>
      </c>
      <c r="P133" s="9">
        <f t="shared" si="30"/>
        <v>2522325.5769490055</v>
      </c>
      <c r="Q133" s="9">
        <v>0</v>
      </c>
      <c r="R133" s="9">
        <v>0</v>
      </c>
      <c r="S133" s="9">
        <f>MAX(0,MIN(Параметры!$C$26-M133,T132))</f>
        <v>513943.04157024878</v>
      </c>
      <c r="T133" s="9">
        <f t="shared" si="31"/>
        <v>37962824.170519978</v>
      </c>
      <c r="U133" s="9">
        <f t="shared" si="32"/>
        <v>1123673.1195900207</v>
      </c>
      <c r="V133" s="9">
        <f t="shared" si="33"/>
        <v>43060687.584629692</v>
      </c>
    </row>
    <row r="134" spans="1:22" x14ac:dyDescent="0.25">
      <c r="A134" s="11">
        <v>133</v>
      </c>
      <c r="B134" s="11" t="s">
        <v>195</v>
      </c>
      <c r="C134" s="12" t="s">
        <v>75</v>
      </c>
      <c r="D134" s="13">
        <f>Параметры!$C$4*Параметры!$C$7*(1+Параметры!$C$8)^INT((A134-Параметры!$C$11-1)/12)</f>
        <v>6321332.3920147223</v>
      </c>
      <c r="E134" s="13">
        <f>D134/(1+Параметры!$C$13)</f>
        <v>5181419.9934546901</v>
      </c>
      <c r="F134" s="13">
        <f t="shared" si="26"/>
        <v>1139912.3985600322</v>
      </c>
      <c r="G134" s="13">
        <f>IF(AND(A134&gt;Параметры!$C$11,A134&lt;=Параметры!$C$11+3),Параметры!$C$28,0)</f>
        <v>0</v>
      </c>
      <c r="H134" s="13">
        <f t="shared" si="27"/>
        <v>1139912.3985600322</v>
      </c>
      <c r="I134" s="13">
        <f>E134*Параметры!$C$16</f>
        <v>777212.99901820347</v>
      </c>
      <c r="J134" s="13">
        <f>Параметры!$C$27</f>
        <v>170765.02732240438</v>
      </c>
      <c r="K134" s="13">
        <f>MAX(0,Параметры!$C$20-Параметры!$C$27*MAX(0,A134-Параметры!$C$11-1))*Параметры!$C$15/12</f>
        <v>112704.91803278688</v>
      </c>
      <c r="L134" s="13">
        <f t="shared" si="28"/>
        <v>4120737.0490812957</v>
      </c>
      <c r="M134" s="13">
        <f>T133*Параметры!$C$10/12</f>
        <v>632713.73617533303</v>
      </c>
      <c r="N134" s="13">
        <f t="shared" si="29"/>
        <v>3488023.3129059626</v>
      </c>
      <c r="O134" s="13">
        <f>MAX(0,N134*Параметры!$C$14)</f>
        <v>697604.66258119256</v>
      </c>
      <c r="P134" s="13">
        <f t="shared" si="30"/>
        <v>2790418.6503247702</v>
      </c>
      <c r="Q134" s="13">
        <v>0</v>
      </c>
      <c r="R134" s="13">
        <v>0</v>
      </c>
      <c r="S134" s="13">
        <f>MAX(0,MIN(Параметры!$C$26-M134,T133))</f>
        <v>522508.75892975286</v>
      </c>
      <c r="T134" s="13">
        <f t="shared" si="31"/>
        <v>37440315.411590226</v>
      </c>
      <c r="U134" s="13">
        <f t="shared" si="32"/>
        <v>1298762.5201573898</v>
      </c>
      <c r="V134" s="13">
        <f t="shared" si="33"/>
        <v>44359450.104787081</v>
      </c>
    </row>
    <row r="135" spans="1:22" x14ac:dyDescent="0.25">
      <c r="A135" s="14">
        <v>134</v>
      </c>
      <c r="B135" s="14" t="s">
        <v>196</v>
      </c>
      <c r="C135" s="15" t="s">
        <v>75</v>
      </c>
      <c r="D135" s="9">
        <f>Параметры!$C$4*Параметры!$C$7*(1+Параметры!$C$8)^INT((A135-Параметры!$C$11-1)/12)</f>
        <v>6321332.3920147223</v>
      </c>
      <c r="E135" s="9">
        <f>D135/(1+Параметры!$C$13)</f>
        <v>5181419.9934546901</v>
      </c>
      <c r="F135" s="9">
        <f t="shared" si="26"/>
        <v>1139912.3985600322</v>
      </c>
      <c r="G135" s="9">
        <f>IF(AND(A135&gt;Параметры!$C$11,A135&lt;=Параметры!$C$11+3),Параметры!$C$28,0)</f>
        <v>0</v>
      </c>
      <c r="H135" s="9">
        <f t="shared" si="27"/>
        <v>1139912.3985600322</v>
      </c>
      <c r="I135" s="9">
        <f>E135*Параметры!$C$16</f>
        <v>777212.99901820347</v>
      </c>
      <c r="J135" s="9">
        <f>Параметры!$C$27</f>
        <v>170765.02732240438</v>
      </c>
      <c r="K135" s="9">
        <f>MAX(0,Параметры!$C$20-Параметры!$C$27*MAX(0,A135-Параметры!$C$11-1))*Параметры!$C$15/12</f>
        <v>112391.84881602913</v>
      </c>
      <c r="L135" s="9">
        <f t="shared" si="28"/>
        <v>4121050.1182980533</v>
      </c>
      <c r="M135" s="9">
        <f>T134*Параметры!$C$10/12</f>
        <v>624005.2568598371</v>
      </c>
      <c r="N135" s="9">
        <f t="shared" si="29"/>
        <v>3497044.8614382162</v>
      </c>
      <c r="O135" s="9">
        <f>MAX(0,N135*Параметры!$C$14)</f>
        <v>699408.97228764324</v>
      </c>
      <c r="P135" s="9">
        <f t="shared" si="30"/>
        <v>2797635.8891505729</v>
      </c>
      <c r="Q135" s="9">
        <v>0</v>
      </c>
      <c r="R135" s="9">
        <v>0</v>
      </c>
      <c r="S135" s="9">
        <f>MAX(0,MIN(Параметры!$C$26-M135,T134))</f>
        <v>531217.23824524879</v>
      </c>
      <c r="T135" s="9">
        <f t="shared" si="31"/>
        <v>36909098.173344977</v>
      </c>
      <c r="U135" s="9">
        <f t="shared" si="32"/>
        <v>1297271.2796676964</v>
      </c>
      <c r="V135" s="9">
        <f t="shared" si="33"/>
        <v>45656721.384454779</v>
      </c>
    </row>
    <row r="136" spans="1:22" x14ac:dyDescent="0.25">
      <c r="A136" s="11">
        <v>135</v>
      </c>
      <c r="B136" s="11" t="s">
        <v>197</v>
      </c>
      <c r="C136" s="12" t="s">
        <v>75</v>
      </c>
      <c r="D136" s="13">
        <f>Параметры!$C$4*Параметры!$C$7*(1+Параметры!$C$8)^INT((A136-Параметры!$C$11-1)/12)</f>
        <v>6321332.3920147223</v>
      </c>
      <c r="E136" s="13">
        <f>D136/(1+Параметры!$C$13)</f>
        <v>5181419.9934546901</v>
      </c>
      <c r="F136" s="13">
        <f t="shared" si="26"/>
        <v>1139912.3985600322</v>
      </c>
      <c r="G136" s="13">
        <f>IF(AND(A136&gt;Параметры!$C$11,A136&lt;=Параметры!$C$11+3),Параметры!$C$28,0)</f>
        <v>0</v>
      </c>
      <c r="H136" s="13">
        <f t="shared" si="27"/>
        <v>1139912.3985600322</v>
      </c>
      <c r="I136" s="13">
        <f>E136*Параметры!$C$16</f>
        <v>777212.99901820347</v>
      </c>
      <c r="J136" s="13">
        <f>Параметры!$C$27</f>
        <v>170765.02732240438</v>
      </c>
      <c r="K136" s="13">
        <f>MAX(0,Параметры!$C$20-Параметры!$C$27*MAX(0,A136-Параметры!$C$11-1))*Параметры!$C$15/12</f>
        <v>112078.77959927138</v>
      </c>
      <c r="L136" s="13">
        <f t="shared" si="28"/>
        <v>4121363.1875148113</v>
      </c>
      <c r="M136" s="13">
        <f>T135*Параметры!$C$10/12</f>
        <v>615151.6362224163</v>
      </c>
      <c r="N136" s="13">
        <f t="shared" si="29"/>
        <v>3506211.5512923952</v>
      </c>
      <c r="O136" s="13">
        <f>MAX(0,N136*Параметры!$C$14)</f>
        <v>701242.31025847909</v>
      </c>
      <c r="P136" s="13">
        <f t="shared" si="30"/>
        <v>2804969.2410339164</v>
      </c>
      <c r="Q136" s="13">
        <v>0</v>
      </c>
      <c r="R136" s="13">
        <v>0</v>
      </c>
      <c r="S136" s="13">
        <f>MAX(0,MIN(Параметры!$C$26-M136,T135))</f>
        <v>540070.85888266959</v>
      </c>
      <c r="T136" s="13">
        <f t="shared" si="31"/>
        <v>36369027.314462304</v>
      </c>
      <c r="U136" s="13">
        <f t="shared" si="32"/>
        <v>1295751.0109136188</v>
      </c>
      <c r="V136" s="13">
        <f t="shared" si="33"/>
        <v>46952472.395368397</v>
      </c>
    </row>
    <row r="137" spans="1:22" x14ac:dyDescent="0.25">
      <c r="A137" s="14">
        <v>136</v>
      </c>
      <c r="B137" s="14" t="s">
        <v>198</v>
      </c>
      <c r="C137" s="15" t="s">
        <v>75</v>
      </c>
      <c r="D137" s="9">
        <f>Параметры!$C$4*Параметры!$C$7*(1+Параметры!$C$8)^INT((A137-Параметры!$C$11-1)/12)</f>
        <v>6321332.3920147223</v>
      </c>
      <c r="E137" s="9">
        <f>D137/(1+Параметры!$C$13)</f>
        <v>5181419.9934546901</v>
      </c>
      <c r="F137" s="9">
        <f t="shared" si="26"/>
        <v>1139912.3985600322</v>
      </c>
      <c r="G137" s="9">
        <f>IF(AND(A137&gt;Параметры!$C$11,A137&lt;=Параметры!$C$11+3),Параметры!$C$28,0)</f>
        <v>0</v>
      </c>
      <c r="H137" s="9">
        <f t="shared" si="27"/>
        <v>1139912.3985600322</v>
      </c>
      <c r="I137" s="9">
        <f>E137*Параметры!$C$16</f>
        <v>777212.99901820347</v>
      </c>
      <c r="J137" s="9">
        <f>Параметры!$C$27</f>
        <v>170765.02732240438</v>
      </c>
      <c r="K137" s="9">
        <f>MAX(0,Параметры!$C$20-Параметры!$C$27*MAX(0,A137-Параметры!$C$11-1))*Параметры!$C$15/12</f>
        <v>111765.71038251364</v>
      </c>
      <c r="L137" s="9">
        <f t="shared" si="28"/>
        <v>4121676.2567315688</v>
      </c>
      <c r="M137" s="9">
        <f>T136*Параметры!$C$10/12</f>
        <v>606150.45524103846</v>
      </c>
      <c r="N137" s="9">
        <f t="shared" si="29"/>
        <v>3515525.8014905304</v>
      </c>
      <c r="O137" s="9">
        <f>MAX(0,N137*Параметры!$C$14)</f>
        <v>703105.16029810614</v>
      </c>
      <c r="P137" s="9">
        <f t="shared" si="30"/>
        <v>2812420.6411924241</v>
      </c>
      <c r="Q137" s="9">
        <v>0</v>
      </c>
      <c r="R137" s="9">
        <v>0</v>
      </c>
      <c r="S137" s="9">
        <f>MAX(0,MIN(Параметры!$C$26-M137,T136))</f>
        <v>549072.03986404743</v>
      </c>
      <c r="T137" s="9">
        <f t="shared" si="31"/>
        <v>35819955.274598256</v>
      </c>
      <c r="U137" s="9">
        <f t="shared" si="32"/>
        <v>1294201.230090749</v>
      </c>
      <c r="V137" s="9">
        <f t="shared" si="33"/>
        <v>48246673.625459149</v>
      </c>
    </row>
    <row r="138" spans="1:22" x14ac:dyDescent="0.25">
      <c r="A138" s="11">
        <v>137</v>
      </c>
      <c r="B138" s="11" t="s">
        <v>199</v>
      </c>
      <c r="C138" s="12" t="s">
        <v>75</v>
      </c>
      <c r="D138" s="13">
        <f>Параметры!$C$4*Параметры!$C$7*(1+Параметры!$C$8)^INT((A138-Параметры!$C$11-1)/12)</f>
        <v>6321332.3920147223</v>
      </c>
      <c r="E138" s="13">
        <f>D138/(1+Параметры!$C$13)</f>
        <v>5181419.9934546901</v>
      </c>
      <c r="F138" s="13">
        <f t="shared" si="26"/>
        <v>1139912.3985600322</v>
      </c>
      <c r="G138" s="13">
        <f>IF(AND(A138&gt;Параметры!$C$11,A138&lt;=Параметры!$C$11+3),Параметры!$C$28,0)</f>
        <v>0</v>
      </c>
      <c r="H138" s="13">
        <f t="shared" si="27"/>
        <v>1139912.3985600322</v>
      </c>
      <c r="I138" s="13">
        <f>E138*Параметры!$C$16</f>
        <v>777212.99901820347</v>
      </c>
      <c r="J138" s="13">
        <f>Параметры!$C$27</f>
        <v>170765.02732240438</v>
      </c>
      <c r="K138" s="13">
        <f>MAX(0,Параметры!$C$20-Параметры!$C$27*MAX(0,A138-Параметры!$C$11-1))*Параметры!$C$15/12</f>
        <v>111452.64116575591</v>
      </c>
      <c r="L138" s="13">
        <f t="shared" si="28"/>
        <v>4121989.3259483268</v>
      </c>
      <c r="M138" s="13">
        <f>T137*Параметры!$C$10/12</f>
        <v>596999.25457663764</v>
      </c>
      <c r="N138" s="13">
        <f t="shared" si="29"/>
        <v>3524990.0713716894</v>
      </c>
      <c r="O138" s="13">
        <f>MAX(0,N138*Параметры!$C$14)</f>
        <v>704998.01427433791</v>
      </c>
      <c r="P138" s="13">
        <f t="shared" si="30"/>
        <v>2819992.0570973516</v>
      </c>
      <c r="Q138" s="13">
        <v>0</v>
      </c>
      <c r="R138" s="13">
        <v>0</v>
      </c>
      <c r="S138" s="13">
        <f>MAX(0,MIN(Параметры!$C$26-M138,T137))</f>
        <v>558223.24052844825</v>
      </c>
      <c r="T138" s="13">
        <f t="shared" si="31"/>
        <v>35261732.034069806</v>
      </c>
      <c r="U138" s="13">
        <f t="shared" si="32"/>
        <v>1292621.4453312755</v>
      </c>
      <c r="V138" s="13">
        <f t="shared" si="33"/>
        <v>49539295.070790425</v>
      </c>
    </row>
    <row r="139" spans="1:22" x14ac:dyDescent="0.25">
      <c r="A139" s="14">
        <v>138</v>
      </c>
      <c r="B139" s="14" t="s">
        <v>200</v>
      </c>
      <c r="C139" s="15" t="s">
        <v>75</v>
      </c>
      <c r="D139" s="9">
        <f>Параметры!$C$4*Параметры!$C$7*(1+Параметры!$C$8)^INT((A139-Параметры!$C$11-1)/12)</f>
        <v>6321332.3920147223</v>
      </c>
      <c r="E139" s="9">
        <f>D139/(1+Параметры!$C$13)</f>
        <v>5181419.9934546901</v>
      </c>
      <c r="F139" s="9">
        <f t="shared" si="26"/>
        <v>1139912.3985600322</v>
      </c>
      <c r="G139" s="9">
        <f>IF(AND(A139&gt;Параметры!$C$11,A139&lt;=Параметры!$C$11+3),Параметры!$C$28,0)</f>
        <v>0</v>
      </c>
      <c r="H139" s="9">
        <f t="shared" si="27"/>
        <v>1139912.3985600322</v>
      </c>
      <c r="I139" s="9">
        <f>E139*Параметры!$C$16</f>
        <v>777212.99901820347</v>
      </c>
      <c r="J139" s="9">
        <f>Параметры!$C$27</f>
        <v>170765.02732240438</v>
      </c>
      <c r="K139" s="9">
        <f>MAX(0,Параметры!$C$20-Параметры!$C$27*MAX(0,A139-Параметры!$C$11-1))*Параметры!$C$15/12</f>
        <v>111139.57194899816</v>
      </c>
      <c r="L139" s="9">
        <f t="shared" si="28"/>
        <v>4122302.3951650844</v>
      </c>
      <c r="M139" s="9">
        <f>T138*Параметры!$C$10/12</f>
        <v>587695.53390116349</v>
      </c>
      <c r="N139" s="9">
        <f t="shared" si="29"/>
        <v>3534606.861263921</v>
      </c>
      <c r="O139" s="9">
        <f>MAX(0,N139*Параметры!$C$14)</f>
        <v>706921.3722527842</v>
      </c>
      <c r="P139" s="9">
        <f t="shared" si="30"/>
        <v>2827685.4890111368</v>
      </c>
      <c r="Q139" s="9">
        <v>0</v>
      </c>
      <c r="R139" s="9">
        <v>0</v>
      </c>
      <c r="S139" s="9">
        <f>MAX(0,MIN(Параметры!$C$26-M139,T138))</f>
        <v>567526.9612039224</v>
      </c>
      <c r="T139" s="9">
        <f t="shared" si="31"/>
        <v>34694205.072865881</v>
      </c>
      <c r="U139" s="9">
        <f t="shared" si="32"/>
        <v>1291011.1565695866</v>
      </c>
      <c r="V139" s="9">
        <f t="shared" si="33"/>
        <v>50830306.22736001</v>
      </c>
    </row>
    <row r="140" spans="1:22" x14ac:dyDescent="0.25">
      <c r="A140" s="11">
        <v>139</v>
      </c>
      <c r="B140" s="11" t="s">
        <v>201</v>
      </c>
      <c r="C140" s="12" t="s">
        <v>75</v>
      </c>
      <c r="D140" s="13">
        <f>Параметры!$C$4*Параметры!$C$7*(1+Параметры!$C$8)^INT((A140-Параметры!$C$11-1)/12)</f>
        <v>6321332.3920147223</v>
      </c>
      <c r="E140" s="13">
        <f>D140/(1+Параметры!$C$13)</f>
        <v>5181419.9934546901</v>
      </c>
      <c r="F140" s="13">
        <f t="shared" si="26"/>
        <v>1139912.3985600322</v>
      </c>
      <c r="G140" s="13">
        <f>IF(AND(A140&gt;Параметры!$C$11,A140&lt;=Параметры!$C$11+3),Параметры!$C$28,0)</f>
        <v>0</v>
      </c>
      <c r="H140" s="13">
        <f t="shared" si="27"/>
        <v>1139912.3985600322</v>
      </c>
      <c r="I140" s="13">
        <f>E140*Параметры!$C$16</f>
        <v>777212.99901820347</v>
      </c>
      <c r="J140" s="13">
        <f>Параметры!$C$27</f>
        <v>170765.02732240438</v>
      </c>
      <c r="K140" s="13">
        <f>MAX(0,Параметры!$C$20-Параметры!$C$27*MAX(0,A140-Параметры!$C$11-1))*Параметры!$C$15/12</f>
        <v>110826.50273224042</v>
      </c>
      <c r="L140" s="13">
        <f t="shared" si="28"/>
        <v>4122615.4643818419</v>
      </c>
      <c r="M140" s="13">
        <f>T139*Параметры!$C$10/12</f>
        <v>578236.75121443137</v>
      </c>
      <c r="N140" s="13">
        <f t="shared" si="29"/>
        <v>3544378.7131674103</v>
      </c>
      <c r="O140" s="13">
        <f>MAX(0,N140*Параметры!$C$14)</f>
        <v>708875.74263348209</v>
      </c>
      <c r="P140" s="13">
        <f t="shared" si="30"/>
        <v>2835502.9705339284</v>
      </c>
      <c r="Q140" s="13">
        <v>0</v>
      </c>
      <c r="R140" s="13">
        <v>0</v>
      </c>
      <c r="S140" s="13">
        <f>MAX(0,MIN(Параметры!$C$26-M140,T139))</f>
        <v>576985.74389065453</v>
      </c>
      <c r="T140" s="13">
        <f t="shared" si="31"/>
        <v>34117219.328975223</v>
      </c>
      <c r="U140" s="13">
        <f t="shared" si="32"/>
        <v>1289369.8554056464</v>
      </c>
      <c r="V140" s="13">
        <f t="shared" si="33"/>
        <v>52119676.082765654</v>
      </c>
    </row>
    <row r="141" spans="1:22" x14ac:dyDescent="0.25">
      <c r="A141" s="14">
        <v>140</v>
      </c>
      <c r="B141" s="14" t="s">
        <v>202</v>
      </c>
      <c r="C141" s="15" t="s">
        <v>75</v>
      </c>
      <c r="D141" s="9">
        <f>Параметры!$C$4*Параметры!$C$7*(1+Параметры!$C$8)^INT((A141-Параметры!$C$11-1)/12)</f>
        <v>6321332.3920147223</v>
      </c>
      <c r="E141" s="9">
        <f>D141/(1+Параметры!$C$13)</f>
        <v>5181419.9934546901</v>
      </c>
      <c r="F141" s="9">
        <f t="shared" si="26"/>
        <v>1139912.3985600322</v>
      </c>
      <c r="G141" s="9">
        <f>IF(AND(A141&gt;Параметры!$C$11,A141&lt;=Параметры!$C$11+3),Параметры!$C$28,0)</f>
        <v>0</v>
      </c>
      <c r="H141" s="9">
        <f t="shared" si="27"/>
        <v>1139912.3985600322</v>
      </c>
      <c r="I141" s="9">
        <f>E141*Параметры!$C$16</f>
        <v>777212.99901820347</v>
      </c>
      <c r="J141" s="9">
        <f>Параметры!$C$27</f>
        <v>170765.02732240438</v>
      </c>
      <c r="K141" s="9">
        <f>MAX(0,Параметры!$C$20-Параметры!$C$27*MAX(0,A141-Параметры!$C$11-1))*Параметры!$C$15/12</f>
        <v>110513.43351548268</v>
      </c>
      <c r="L141" s="9">
        <f t="shared" si="28"/>
        <v>4122928.5335986</v>
      </c>
      <c r="M141" s="9">
        <f>T140*Параметры!$C$10/12</f>
        <v>568620.3221495871</v>
      </c>
      <c r="N141" s="9">
        <f t="shared" si="29"/>
        <v>3554308.2114490131</v>
      </c>
      <c r="O141" s="9">
        <f>MAX(0,N141*Параметры!$C$14)</f>
        <v>710861.64228980266</v>
      </c>
      <c r="P141" s="9">
        <f t="shared" si="30"/>
        <v>2843446.5691592107</v>
      </c>
      <c r="Q141" s="9">
        <v>0</v>
      </c>
      <c r="R141" s="9">
        <v>0</v>
      </c>
      <c r="S141" s="9">
        <f>MAX(0,MIN(Параметры!$C$26-M141,T140))</f>
        <v>586602.1729554988</v>
      </c>
      <c r="T141" s="9">
        <f t="shared" si="31"/>
        <v>33530617.156019725</v>
      </c>
      <c r="U141" s="9">
        <f t="shared" si="32"/>
        <v>1287697.0249660844</v>
      </c>
      <c r="V141" s="9">
        <f t="shared" si="33"/>
        <v>53407373.107731737</v>
      </c>
    </row>
    <row r="142" spans="1:22" x14ac:dyDescent="0.25">
      <c r="A142" s="11">
        <v>141</v>
      </c>
      <c r="B142" s="11" t="s">
        <v>203</v>
      </c>
      <c r="C142" s="12" t="s">
        <v>75</v>
      </c>
      <c r="D142" s="13">
        <f>Параметры!$C$4*Параметры!$C$7*(1+Параметры!$C$8)^INT((A142-Параметры!$C$11-1)/12)</f>
        <v>6321332.3920147223</v>
      </c>
      <c r="E142" s="13">
        <f>D142/(1+Параметры!$C$13)</f>
        <v>5181419.9934546901</v>
      </c>
      <c r="F142" s="13">
        <f t="shared" ref="F142:F173" si="34">D142-E142</f>
        <v>1139912.3985600322</v>
      </c>
      <c r="G142" s="13">
        <f>IF(AND(A142&gt;Параметры!$C$11,A142&lt;=Параметры!$C$11+3),Параметры!$C$28,0)</f>
        <v>0</v>
      </c>
      <c r="H142" s="13">
        <f t="shared" ref="H142:H173" si="35">F142-G142</f>
        <v>1139912.3985600322</v>
      </c>
      <c r="I142" s="13">
        <f>E142*Параметры!$C$16</f>
        <v>777212.99901820347</v>
      </c>
      <c r="J142" s="13">
        <f>Параметры!$C$27</f>
        <v>170765.02732240438</v>
      </c>
      <c r="K142" s="13">
        <f>MAX(0,Параметры!$C$20-Параметры!$C$27*MAX(0,A142-Параметры!$C$11-1))*Параметры!$C$15/12</f>
        <v>110200.36429872493</v>
      </c>
      <c r="L142" s="13">
        <f t="shared" ref="L142:L173" si="36">E142-I142-J142-K142</f>
        <v>4123241.6028153575</v>
      </c>
      <c r="M142" s="13">
        <f>T141*Параметры!$C$10/12</f>
        <v>558843.61926699546</v>
      </c>
      <c r="N142" s="13">
        <f t="shared" ref="N142:N173" si="37">L142-M142</f>
        <v>3564397.9835483618</v>
      </c>
      <c r="O142" s="13">
        <f>MAX(0,N142*Параметры!$C$14)</f>
        <v>712879.59670967236</v>
      </c>
      <c r="P142" s="13">
        <f t="shared" ref="P142:P173" si="38">N142-O142</f>
        <v>2851518.3868386894</v>
      </c>
      <c r="Q142" s="13">
        <v>0</v>
      </c>
      <c r="R142" s="13">
        <v>0</v>
      </c>
      <c r="S142" s="13">
        <f>MAX(0,MIN(Параметры!$C$26-M142,T141))</f>
        <v>596378.87583809043</v>
      </c>
      <c r="T142" s="13">
        <f t="shared" ref="T142:T173" si="39">MAX(0,T141-S142)</f>
        <v>32934238.280181635</v>
      </c>
      <c r="U142" s="13">
        <f t="shared" ref="U142:U173" si="40">P142+J142-S142-H142</f>
        <v>1285992.1397629716</v>
      </c>
      <c r="V142" s="13">
        <f t="shared" si="33"/>
        <v>54693365.247494712</v>
      </c>
    </row>
    <row r="143" spans="1:22" x14ac:dyDescent="0.25">
      <c r="A143" s="14">
        <v>142</v>
      </c>
      <c r="B143" s="14" t="s">
        <v>204</v>
      </c>
      <c r="C143" s="15" t="s">
        <v>75</v>
      </c>
      <c r="D143" s="9">
        <f>Параметры!$C$4*Параметры!$C$7*(1+Параметры!$C$8)^INT((A143-Параметры!$C$11-1)/12)</f>
        <v>6321332.3920147223</v>
      </c>
      <c r="E143" s="9">
        <f>D143/(1+Параметры!$C$13)</f>
        <v>5181419.9934546901</v>
      </c>
      <c r="F143" s="9">
        <f t="shared" si="34"/>
        <v>1139912.3985600322</v>
      </c>
      <c r="G143" s="9">
        <f>IF(AND(A143&gt;Параметры!$C$11,A143&lt;=Параметры!$C$11+3),Параметры!$C$28,0)</f>
        <v>0</v>
      </c>
      <c r="H143" s="9">
        <f t="shared" si="35"/>
        <v>1139912.3985600322</v>
      </c>
      <c r="I143" s="9">
        <f>E143*Параметры!$C$16</f>
        <v>777212.99901820347</v>
      </c>
      <c r="J143" s="9">
        <f>Параметры!$C$27</f>
        <v>170765.02732240438</v>
      </c>
      <c r="K143" s="9">
        <f>MAX(0,Параметры!$C$20-Параметры!$C$27*MAX(0,A143-Параметры!$C$11-1))*Параметры!$C$15/12</f>
        <v>109887.2950819672</v>
      </c>
      <c r="L143" s="9">
        <f t="shared" si="36"/>
        <v>4123554.6720321155</v>
      </c>
      <c r="M143" s="9">
        <f>T142*Параметры!$C$10/12</f>
        <v>548903.97133636067</v>
      </c>
      <c r="N143" s="9">
        <f t="shared" si="37"/>
        <v>3574650.700695755</v>
      </c>
      <c r="O143" s="9">
        <f>MAX(0,N143*Параметры!$C$14)</f>
        <v>714930.14013915102</v>
      </c>
      <c r="P143" s="9">
        <f t="shared" si="38"/>
        <v>2859720.5605566041</v>
      </c>
      <c r="Q143" s="9">
        <v>0</v>
      </c>
      <c r="R143" s="9">
        <v>0</v>
      </c>
      <c r="S143" s="9">
        <f>MAX(0,MIN(Параметры!$C$26-M143,T142))</f>
        <v>606318.52376872522</v>
      </c>
      <c r="T143" s="9">
        <f t="shared" si="39"/>
        <v>32327919.756412908</v>
      </c>
      <c r="U143" s="9">
        <f t="shared" si="40"/>
        <v>1284254.665550251</v>
      </c>
      <c r="V143" s="9">
        <f t="shared" si="33"/>
        <v>55977619.913044967</v>
      </c>
    </row>
    <row r="144" spans="1:22" x14ac:dyDescent="0.25">
      <c r="A144" s="11">
        <v>143</v>
      </c>
      <c r="B144" s="11" t="s">
        <v>205</v>
      </c>
      <c r="C144" s="12" t="s">
        <v>75</v>
      </c>
      <c r="D144" s="13">
        <f>Параметры!$C$4*Параметры!$C$7*(1+Параметры!$C$8)^INT((A144-Параметры!$C$11-1)/12)</f>
        <v>6321332.3920147223</v>
      </c>
      <c r="E144" s="13">
        <f>D144/(1+Параметры!$C$13)</f>
        <v>5181419.9934546901</v>
      </c>
      <c r="F144" s="13">
        <f t="shared" si="34"/>
        <v>1139912.3985600322</v>
      </c>
      <c r="G144" s="13">
        <f>IF(AND(A144&gt;Параметры!$C$11,A144&lt;=Параметры!$C$11+3),Параметры!$C$28,0)</f>
        <v>0</v>
      </c>
      <c r="H144" s="13">
        <f t="shared" si="35"/>
        <v>1139912.3985600322</v>
      </c>
      <c r="I144" s="13">
        <f>E144*Параметры!$C$16</f>
        <v>777212.99901820347</v>
      </c>
      <c r="J144" s="13">
        <f>Параметры!$C$27</f>
        <v>170765.02732240438</v>
      </c>
      <c r="K144" s="13">
        <f>MAX(0,Параметры!$C$20-Параметры!$C$27*MAX(0,A144-Параметры!$C$11-1))*Параметры!$C$15/12</f>
        <v>109574.22586520946</v>
      </c>
      <c r="L144" s="13">
        <f t="shared" si="36"/>
        <v>4123867.7412488731</v>
      </c>
      <c r="M144" s="13">
        <f>T143*Параметры!$C$10/12</f>
        <v>538798.66260688182</v>
      </c>
      <c r="N144" s="13">
        <f t="shared" si="37"/>
        <v>3585069.0786419911</v>
      </c>
      <c r="O144" s="13">
        <f>MAX(0,N144*Параметры!$C$14)</f>
        <v>717013.81572839827</v>
      </c>
      <c r="P144" s="13">
        <f t="shared" si="38"/>
        <v>2868055.2629135931</v>
      </c>
      <c r="Q144" s="13">
        <v>0</v>
      </c>
      <c r="R144" s="13">
        <v>0</v>
      </c>
      <c r="S144" s="13">
        <f>MAX(0,MIN(Параметры!$C$26-M144,T143))</f>
        <v>616423.83249820408</v>
      </c>
      <c r="T144" s="13">
        <f t="shared" si="39"/>
        <v>31711495.923914704</v>
      </c>
      <c r="U144" s="13">
        <f t="shared" si="40"/>
        <v>1282484.0591777614</v>
      </c>
      <c r="V144" s="13">
        <f t="shared" si="33"/>
        <v>57260103.972222731</v>
      </c>
    </row>
    <row r="145" spans="1:22" x14ac:dyDescent="0.25">
      <c r="A145" s="14">
        <v>144</v>
      </c>
      <c r="B145" s="14" t="s">
        <v>206</v>
      </c>
      <c r="C145" s="15" t="s">
        <v>75</v>
      </c>
      <c r="D145" s="9">
        <f>Параметры!$C$4*Параметры!$C$7*(1+Параметры!$C$8)^INT((A145-Параметры!$C$11-1)/12)</f>
        <v>6321332.3920147223</v>
      </c>
      <c r="E145" s="9">
        <f>D145/(1+Параметры!$C$13)</f>
        <v>5181419.9934546901</v>
      </c>
      <c r="F145" s="9">
        <f t="shared" si="34"/>
        <v>1139912.3985600322</v>
      </c>
      <c r="G145" s="9">
        <f>IF(AND(A145&gt;Параметры!$C$11,A145&lt;=Параметры!$C$11+3),Параметры!$C$28,0)</f>
        <v>0</v>
      </c>
      <c r="H145" s="9">
        <f t="shared" si="35"/>
        <v>1139912.3985600322</v>
      </c>
      <c r="I145" s="9">
        <f>E145*Параметры!$C$16</f>
        <v>777212.99901820347</v>
      </c>
      <c r="J145" s="9">
        <f>Параметры!$C$27</f>
        <v>170765.02732240438</v>
      </c>
      <c r="K145" s="9">
        <f>MAX(0,Параметры!$C$20-Параметры!$C$27*MAX(0,A145-Параметры!$C$11-1))*Параметры!$C$15/12</f>
        <v>109261.15664845171</v>
      </c>
      <c r="L145" s="9">
        <f t="shared" si="36"/>
        <v>4124180.8104656306</v>
      </c>
      <c r="M145" s="9">
        <f>T144*Параметры!$C$10/12</f>
        <v>528524.93206524511</v>
      </c>
      <c r="N145" s="9">
        <f t="shared" si="37"/>
        <v>3595655.8784003854</v>
      </c>
      <c r="O145" s="9">
        <f>MAX(0,N145*Параметры!$C$14)</f>
        <v>719131.17568007717</v>
      </c>
      <c r="P145" s="9">
        <f t="shared" si="38"/>
        <v>2876524.7027203082</v>
      </c>
      <c r="Q145" s="9">
        <v>0</v>
      </c>
      <c r="R145" s="9">
        <v>0</v>
      </c>
      <c r="S145" s="9">
        <f>MAX(0,MIN(Параметры!$C$26-M145,T144))</f>
        <v>626697.56303984078</v>
      </c>
      <c r="T145" s="9">
        <f t="shared" si="39"/>
        <v>31084798.360874865</v>
      </c>
      <c r="U145" s="9">
        <f t="shared" si="40"/>
        <v>1280679.7684428398</v>
      </c>
      <c r="V145" s="9">
        <f t="shared" si="33"/>
        <v>58540783.74066557</v>
      </c>
    </row>
    <row r="146" spans="1:22" x14ac:dyDescent="0.25">
      <c r="A146" s="11">
        <v>145</v>
      </c>
      <c r="B146" s="11" t="s">
        <v>207</v>
      </c>
      <c r="C146" s="12" t="s">
        <v>75</v>
      </c>
      <c r="D146" s="13">
        <f>Параметры!$C$4*Параметры!$C$7*(1+Параметры!$C$8)^INT((A146-Параметры!$C$11-1)/12)</f>
        <v>6827038.9833759004</v>
      </c>
      <c r="E146" s="13">
        <f>D146/(1+Параметры!$C$13)</f>
        <v>5595933.5929310657</v>
      </c>
      <c r="F146" s="13">
        <f t="shared" si="34"/>
        <v>1231105.3904448347</v>
      </c>
      <c r="G146" s="13">
        <f>IF(AND(A146&gt;Параметры!$C$11,A146&lt;=Параметры!$C$11+3),Параметры!$C$28,0)</f>
        <v>0</v>
      </c>
      <c r="H146" s="13">
        <f t="shared" si="35"/>
        <v>1231105.3904448347</v>
      </c>
      <c r="I146" s="13">
        <f>E146*Параметры!$C$16</f>
        <v>839390.03893965983</v>
      </c>
      <c r="J146" s="13">
        <f>Параметры!$C$27</f>
        <v>170765.02732240438</v>
      </c>
      <c r="K146" s="13">
        <f>MAX(0,Параметры!$C$20-Параметры!$C$27*MAX(0,A146-Параметры!$C$11-1))*Параметры!$C$15/12</f>
        <v>108948.08743169397</v>
      </c>
      <c r="L146" s="13">
        <f t="shared" si="36"/>
        <v>4476830.4392373078</v>
      </c>
      <c r="M146" s="13">
        <f>T145*Параметры!$C$10/12</f>
        <v>518079.9726812478</v>
      </c>
      <c r="N146" s="13">
        <f t="shared" si="37"/>
        <v>3958750.4665560601</v>
      </c>
      <c r="O146" s="13">
        <f>MAX(0,N146*Параметры!$C$14)</f>
        <v>791750.09331121203</v>
      </c>
      <c r="P146" s="13">
        <f t="shared" si="38"/>
        <v>3167000.3732448481</v>
      </c>
      <c r="Q146" s="13">
        <v>0</v>
      </c>
      <c r="R146" s="13">
        <v>0</v>
      </c>
      <c r="S146" s="13">
        <f>MAX(0,MIN(Параметры!$C$26-M146,T145))</f>
        <v>637142.52242383803</v>
      </c>
      <c r="T146" s="13">
        <f t="shared" si="39"/>
        <v>30447655.838451028</v>
      </c>
      <c r="U146" s="13">
        <f t="shared" si="40"/>
        <v>1469517.4876985801</v>
      </c>
      <c r="V146" s="13">
        <f t="shared" si="33"/>
        <v>60010301.228364147</v>
      </c>
    </row>
    <row r="147" spans="1:22" x14ac:dyDescent="0.25">
      <c r="A147" s="14">
        <v>146</v>
      </c>
      <c r="B147" s="14" t="s">
        <v>208</v>
      </c>
      <c r="C147" s="15" t="s">
        <v>75</v>
      </c>
      <c r="D147" s="9">
        <f>Параметры!$C$4*Параметры!$C$7*(1+Параметры!$C$8)^INT((A147-Параметры!$C$11-1)/12)</f>
        <v>6827038.9833759004</v>
      </c>
      <c r="E147" s="9">
        <f>D147/(1+Параметры!$C$13)</f>
        <v>5595933.5929310657</v>
      </c>
      <c r="F147" s="9">
        <f t="shared" si="34"/>
        <v>1231105.3904448347</v>
      </c>
      <c r="G147" s="9">
        <f>IF(AND(A147&gt;Параметры!$C$11,A147&lt;=Параметры!$C$11+3),Параметры!$C$28,0)</f>
        <v>0</v>
      </c>
      <c r="H147" s="9">
        <f t="shared" si="35"/>
        <v>1231105.3904448347</v>
      </c>
      <c r="I147" s="9">
        <f>E147*Параметры!$C$16</f>
        <v>839390.03893965983</v>
      </c>
      <c r="J147" s="9">
        <f>Параметры!$C$27</f>
        <v>170765.02732240438</v>
      </c>
      <c r="K147" s="9">
        <f>MAX(0,Параметры!$C$20-Параметры!$C$27*MAX(0,A147-Параметры!$C$11-1))*Параметры!$C$15/12</f>
        <v>108635.01821493624</v>
      </c>
      <c r="L147" s="9">
        <f t="shared" si="36"/>
        <v>4477143.5084540658</v>
      </c>
      <c r="M147" s="9">
        <f>T146*Параметры!$C$10/12</f>
        <v>507460.93064085051</v>
      </c>
      <c r="N147" s="9">
        <f t="shared" si="37"/>
        <v>3969682.5778132151</v>
      </c>
      <c r="O147" s="9">
        <f>MAX(0,N147*Параметры!$C$14)</f>
        <v>793936.51556264306</v>
      </c>
      <c r="P147" s="9">
        <f t="shared" si="38"/>
        <v>3175746.0622505723</v>
      </c>
      <c r="Q147" s="9">
        <v>0</v>
      </c>
      <c r="R147" s="9">
        <v>0</v>
      </c>
      <c r="S147" s="9">
        <f>MAX(0,MIN(Параметры!$C$26-M147,T146))</f>
        <v>647761.56446423545</v>
      </c>
      <c r="T147" s="9">
        <f t="shared" si="39"/>
        <v>29799894.273986794</v>
      </c>
      <c r="U147" s="9">
        <f t="shared" si="40"/>
        <v>1467644.1346639069</v>
      </c>
      <c r="V147" s="9">
        <f t="shared" si="33"/>
        <v>61477945.363028057</v>
      </c>
    </row>
    <row r="148" spans="1:22" x14ac:dyDescent="0.25">
      <c r="A148" s="11">
        <v>147</v>
      </c>
      <c r="B148" s="11" t="s">
        <v>209</v>
      </c>
      <c r="C148" s="12" t="s">
        <v>75</v>
      </c>
      <c r="D148" s="13">
        <f>Параметры!$C$4*Параметры!$C$7*(1+Параметры!$C$8)^INT((A148-Параметры!$C$11-1)/12)</f>
        <v>6827038.9833759004</v>
      </c>
      <c r="E148" s="13">
        <f>D148/(1+Параметры!$C$13)</f>
        <v>5595933.5929310657</v>
      </c>
      <c r="F148" s="13">
        <f t="shared" si="34"/>
        <v>1231105.3904448347</v>
      </c>
      <c r="G148" s="13">
        <f>IF(AND(A148&gt;Параметры!$C$11,A148&lt;=Параметры!$C$11+3),Параметры!$C$28,0)</f>
        <v>0</v>
      </c>
      <c r="H148" s="13">
        <f t="shared" si="35"/>
        <v>1231105.3904448347</v>
      </c>
      <c r="I148" s="13">
        <f>E148*Параметры!$C$16</f>
        <v>839390.03893965983</v>
      </c>
      <c r="J148" s="13">
        <f>Параметры!$C$27</f>
        <v>170765.02732240438</v>
      </c>
      <c r="K148" s="13">
        <f>MAX(0,Параметры!$C$20-Параметры!$C$27*MAX(0,A148-Параметры!$C$11-1))*Параметры!$C$15/12</f>
        <v>108321.94899817849</v>
      </c>
      <c r="L148" s="13">
        <f t="shared" si="36"/>
        <v>4477456.5776708238</v>
      </c>
      <c r="M148" s="13">
        <f>T147*Параметры!$C$10/12</f>
        <v>496664.90456644661</v>
      </c>
      <c r="N148" s="13">
        <f t="shared" si="37"/>
        <v>3980791.673104377</v>
      </c>
      <c r="O148" s="13">
        <f>MAX(0,N148*Параметры!$C$14)</f>
        <v>796158.33462087542</v>
      </c>
      <c r="P148" s="13">
        <f t="shared" si="38"/>
        <v>3184633.3384835017</v>
      </c>
      <c r="Q148" s="13">
        <v>0</v>
      </c>
      <c r="R148" s="13">
        <v>0</v>
      </c>
      <c r="S148" s="13">
        <f>MAX(0,MIN(Параметры!$C$26-M148,T147))</f>
        <v>658557.59053863934</v>
      </c>
      <c r="T148" s="13">
        <f t="shared" si="39"/>
        <v>29141336.683448154</v>
      </c>
      <c r="U148" s="13">
        <f t="shared" si="40"/>
        <v>1465735.384822432</v>
      </c>
      <c r="V148" s="13">
        <f t="shared" si="33"/>
        <v>62943680.747850493</v>
      </c>
    </row>
    <row r="149" spans="1:22" x14ac:dyDescent="0.25">
      <c r="A149" s="14">
        <v>148</v>
      </c>
      <c r="B149" s="14" t="s">
        <v>210</v>
      </c>
      <c r="C149" s="15" t="s">
        <v>75</v>
      </c>
      <c r="D149" s="9">
        <f>Параметры!$C$4*Параметры!$C$7*(1+Параметры!$C$8)^INT((A149-Параметры!$C$11-1)/12)</f>
        <v>6827038.9833759004</v>
      </c>
      <c r="E149" s="9">
        <f>D149/(1+Параметры!$C$13)</f>
        <v>5595933.5929310657</v>
      </c>
      <c r="F149" s="9">
        <f t="shared" si="34"/>
        <v>1231105.3904448347</v>
      </c>
      <c r="G149" s="9">
        <f>IF(AND(A149&gt;Параметры!$C$11,A149&lt;=Параметры!$C$11+3),Параметры!$C$28,0)</f>
        <v>0</v>
      </c>
      <c r="H149" s="9">
        <f t="shared" si="35"/>
        <v>1231105.3904448347</v>
      </c>
      <c r="I149" s="9">
        <f>E149*Параметры!$C$16</f>
        <v>839390.03893965983</v>
      </c>
      <c r="J149" s="9">
        <f>Параметры!$C$27</f>
        <v>170765.02732240438</v>
      </c>
      <c r="K149" s="9">
        <f>MAX(0,Параметры!$C$20-Параметры!$C$27*MAX(0,A149-Параметры!$C$11-1))*Параметры!$C$15/12</f>
        <v>108008.87978142075</v>
      </c>
      <c r="L149" s="9">
        <f t="shared" si="36"/>
        <v>4477769.6468875818</v>
      </c>
      <c r="M149" s="9">
        <f>T148*Параметры!$C$10/12</f>
        <v>485688.94472413597</v>
      </c>
      <c r="N149" s="9">
        <f t="shared" si="37"/>
        <v>3992080.7021634458</v>
      </c>
      <c r="O149" s="9">
        <f>MAX(0,N149*Параметры!$C$14)</f>
        <v>798416.14043268922</v>
      </c>
      <c r="P149" s="9">
        <f t="shared" si="38"/>
        <v>3193664.5617307564</v>
      </c>
      <c r="Q149" s="9">
        <v>0</v>
      </c>
      <c r="R149" s="9">
        <v>0</v>
      </c>
      <c r="S149" s="9">
        <f>MAX(0,MIN(Параметры!$C$26-M149,T148))</f>
        <v>669533.55038094986</v>
      </c>
      <c r="T149" s="9">
        <f t="shared" si="39"/>
        <v>28471803.133067206</v>
      </c>
      <c r="U149" s="9">
        <f t="shared" si="40"/>
        <v>1463790.6482273764</v>
      </c>
      <c r="V149" s="9">
        <f t="shared" si="33"/>
        <v>64407471.396077871</v>
      </c>
    </row>
    <row r="150" spans="1:22" x14ac:dyDescent="0.25">
      <c r="A150" s="11">
        <v>149</v>
      </c>
      <c r="B150" s="11" t="s">
        <v>211</v>
      </c>
      <c r="C150" s="12" t="s">
        <v>75</v>
      </c>
      <c r="D150" s="13">
        <f>Параметры!$C$4*Параметры!$C$7*(1+Параметры!$C$8)^INT((A150-Параметры!$C$11-1)/12)</f>
        <v>6827038.9833759004</v>
      </c>
      <c r="E150" s="13">
        <f>D150/(1+Параметры!$C$13)</f>
        <v>5595933.5929310657</v>
      </c>
      <c r="F150" s="13">
        <f t="shared" si="34"/>
        <v>1231105.3904448347</v>
      </c>
      <c r="G150" s="13">
        <f>IF(AND(A150&gt;Параметры!$C$11,A150&lt;=Параметры!$C$11+3),Параметры!$C$28,0)</f>
        <v>0</v>
      </c>
      <c r="H150" s="13">
        <f t="shared" si="35"/>
        <v>1231105.3904448347</v>
      </c>
      <c r="I150" s="13">
        <f>E150*Параметры!$C$16</f>
        <v>839390.03893965983</v>
      </c>
      <c r="J150" s="13">
        <f>Параметры!$C$27</f>
        <v>170765.02732240438</v>
      </c>
      <c r="K150" s="13">
        <f>MAX(0,Параметры!$C$20-Параметры!$C$27*MAX(0,A150-Параметры!$C$11-1))*Параметры!$C$15/12</f>
        <v>107695.81056466301</v>
      </c>
      <c r="L150" s="13">
        <f t="shared" si="36"/>
        <v>4478082.7161043389</v>
      </c>
      <c r="M150" s="13">
        <f>T149*Параметры!$C$10/12</f>
        <v>474530.05221778684</v>
      </c>
      <c r="N150" s="13">
        <f t="shared" si="37"/>
        <v>4003552.6638865522</v>
      </c>
      <c r="O150" s="13">
        <f>MAX(0,N150*Параметры!$C$14)</f>
        <v>800710.53277731047</v>
      </c>
      <c r="P150" s="13">
        <f t="shared" si="38"/>
        <v>3202842.1311092419</v>
      </c>
      <c r="Q150" s="13">
        <v>0</v>
      </c>
      <c r="R150" s="13">
        <v>0</v>
      </c>
      <c r="S150" s="13">
        <f>MAX(0,MIN(Параметры!$C$26-M150,T149))</f>
        <v>680692.442887299</v>
      </c>
      <c r="T150" s="13">
        <f t="shared" si="39"/>
        <v>27791110.690179907</v>
      </c>
      <c r="U150" s="13">
        <f t="shared" si="40"/>
        <v>1461809.3250995129</v>
      </c>
      <c r="V150" s="13">
        <f t="shared" si="33"/>
        <v>65869280.721177384</v>
      </c>
    </row>
    <row r="151" spans="1:22" x14ac:dyDescent="0.25">
      <c r="A151" s="14">
        <v>150</v>
      </c>
      <c r="B151" s="14" t="s">
        <v>212</v>
      </c>
      <c r="C151" s="15" t="s">
        <v>75</v>
      </c>
      <c r="D151" s="9">
        <f>Параметры!$C$4*Параметры!$C$7*(1+Параметры!$C$8)^INT((A151-Параметры!$C$11-1)/12)</f>
        <v>6827038.9833759004</v>
      </c>
      <c r="E151" s="9">
        <f>D151/(1+Параметры!$C$13)</f>
        <v>5595933.5929310657</v>
      </c>
      <c r="F151" s="9">
        <f t="shared" si="34"/>
        <v>1231105.3904448347</v>
      </c>
      <c r="G151" s="9">
        <f>IF(AND(A151&gt;Параметры!$C$11,A151&lt;=Параметры!$C$11+3),Параметры!$C$28,0)</f>
        <v>0</v>
      </c>
      <c r="H151" s="9">
        <f t="shared" si="35"/>
        <v>1231105.3904448347</v>
      </c>
      <c r="I151" s="9">
        <f>E151*Параметры!$C$16</f>
        <v>839390.03893965983</v>
      </c>
      <c r="J151" s="9">
        <f>Параметры!$C$27</f>
        <v>170765.02732240438</v>
      </c>
      <c r="K151" s="9">
        <f>MAX(0,Параметры!$C$20-Параметры!$C$27*MAX(0,A151-Параметры!$C$11-1))*Параметры!$C$15/12</f>
        <v>107382.74134790526</v>
      </c>
      <c r="L151" s="9">
        <f t="shared" si="36"/>
        <v>4478395.7853210969</v>
      </c>
      <c r="M151" s="9">
        <f>T150*Параметры!$C$10/12</f>
        <v>463185.17816966516</v>
      </c>
      <c r="N151" s="9">
        <f t="shared" si="37"/>
        <v>4015210.607151432</v>
      </c>
      <c r="O151" s="9">
        <f>MAX(0,N151*Параметры!$C$14)</f>
        <v>803042.12143028644</v>
      </c>
      <c r="P151" s="9">
        <f t="shared" si="38"/>
        <v>3212168.4857211458</v>
      </c>
      <c r="Q151" s="9">
        <v>0</v>
      </c>
      <c r="R151" s="9">
        <v>0</v>
      </c>
      <c r="S151" s="9">
        <f>MAX(0,MIN(Параметры!$C$26-M151,T150))</f>
        <v>692037.31693542073</v>
      </c>
      <c r="T151" s="9">
        <f t="shared" si="39"/>
        <v>27099073.373244487</v>
      </c>
      <c r="U151" s="9">
        <f t="shared" si="40"/>
        <v>1459790.8056632951</v>
      </c>
      <c r="V151" s="9">
        <f t="shared" si="33"/>
        <v>67329071.526840687</v>
      </c>
    </row>
    <row r="152" spans="1:22" x14ac:dyDescent="0.25">
      <c r="A152" s="11">
        <v>151</v>
      </c>
      <c r="B152" s="11" t="s">
        <v>213</v>
      </c>
      <c r="C152" s="12" t="s">
        <v>75</v>
      </c>
      <c r="D152" s="13">
        <f>Параметры!$C$4*Параметры!$C$7*(1+Параметры!$C$8)^INT((A152-Параметры!$C$11-1)/12)</f>
        <v>6827038.9833759004</v>
      </c>
      <c r="E152" s="13">
        <f>D152/(1+Параметры!$C$13)</f>
        <v>5595933.5929310657</v>
      </c>
      <c r="F152" s="13">
        <f t="shared" si="34"/>
        <v>1231105.3904448347</v>
      </c>
      <c r="G152" s="13">
        <f>IF(AND(A152&gt;Параметры!$C$11,A152&lt;=Параметры!$C$11+3),Параметры!$C$28,0)</f>
        <v>0</v>
      </c>
      <c r="H152" s="13">
        <f t="shared" si="35"/>
        <v>1231105.3904448347</v>
      </c>
      <c r="I152" s="13">
        <f>E152*Параметры!$C$16</f>
        <v>839390.03893965983</v>
      </c>
      <c r="J152" s="13">
        <f>Параметры!$C$27</f>
        <v>170765.02732240438</v>
      </c>
      <c r="K152" s="13">
        <f>MAX(0,Параметры!$C$20-Параметры!$C$27*MAX(0,A152-Параметры!$C$11-1))*Параметры!$C$15/12</f>
        <v>107069.67213114753</v>
      </c>
      <c r="L152" s="13">
        <f t="shared" si="36"/>
        <v>4478708.8545378549</v>
      </c>
      <c r="M152" s="13">
        <f>T151*Параметры!$C$10/12</f>
        <v>451651.22288740816</v>
      </c>
      <c r="N152" s="13">
        <f t="shared" si="37"/>
        <v>4027057.6316504469</v>
      </c>
      <c r="O152" s="13">
        <f>MAX(0,N152*Параметры!$C$14)</f>
        <v>805411.52633008943</v>
      </c>
      <c r="P152" s="13">
        <f t="shared" si="38"/>
        <v>3221646.1053203577</v>
      </c>
      <c r="Q152" s="13">
        <v>0</v>
      </c>
      <c r="R152" s="13">
        <v>0</v>
      </c>
      <c r="S152" s="13">
        <f>MAX(0,MIN(Параметры!$C$26-M152,T151))</f>
        <v>703571.27221767767</v>
      </c>
      <c r="T152" s="13">
        <f t="shared" si="39"/>
        <v>26395502.101026811</v>
      </c>
      <c r="U152" s="13">
        <f t="shared" si="40"/>
        <v>1457734.4699802501</v>
      </c>
      <c r="V152" s="13">
        <f t="shared" si="33"/>
        <v>68786805.996820942</v>
      </c>
    </row>
    <row r="153" spans="1:22" x14ac:dyDescent="0.25">
      <c r="A153" s="14">
        <v>152</v>
      </c>
      <c r="B153" s="14" t="s">
        <v>214</v>
      </c>
      <c r="C153" s="15" t="s">
        <v>75</v>
      </c>
      <c r="D153" s="9">
        <f>Параметры!$C$4*Параметры!$C$7*(1+Параметры!$C$8)^INT((A153-Параметры!$C$11-1)/12)</f>
        <v>6827038.9833759004</v>
      </c>
      <c r="E153" s="9">
        <f>D153/(1+Параметры!$C$13)</f>
        <v>5595933.5929310657</v>
      </c>
      <c r="F153" s="9">
        <f t="shared" si="34"/>
        <v>1231105.3904448347</v>
      </c>
      <c r="G153" s="9">
        <f>IF(AND(A153&gt;Параметры!$C$11,A153&lt;=Параметры!$C$11+3),Параметры!$C$28,0)</f>
        <v>0</v>
      </c>
      <c r="H153" s="9">
        <f t="shared" si="35"/>
        <v>1231105.3904448347</v>
      </c>
      <c r="I153" s="9">
        <f>E153*Параметры!$C$16</f>
        <v>839390.03893965983</v>
      </c>
      <c r="J153" s="9">
        <f>Параметры!$C$27</f>
        <v>170765.02732240438</v>
      </c>
      <c r="K153" s="9">
        <f>MAX(0,Параметры!$C$20-Параметры!$C$27*MAX(0,A153-Параметры!$C$11-1))*Параметры!$C$15/12</f>
        <v>106756.60291438979</v>
      </c>
      <c r="L153" s="9">
        <f t="shared" si="36"/>
        <v>4479021.923754612</v>
      </c>
      <c r="M153" s="9">
        <f>T152*Параметры!$C$10/12</f>
        <v>439925.03501711349</v>
      </c>
      <c r="N153" s="9">
        <f t="shared" si="37"/>
        <v>4039096.8887374983</v>
      </c>
      <c r="O153" s="9">
        <f>MAX(0,N153*Параметры!$C$14)</f>
        <v>807819.37774749973</v>
      </c>
      <c r="P153" s="9">
        <f t="shared" si="38"/>
        <v>3231277.5109899985</v>
      </c>
      <c r="Q153" s="9">
        <v>0</v>
      </c>
      <c r="R153" s="9">
        <v>0</v>
      </c>
      <c r="S153" s="9">
        <f>MAX(0,MIN(Параметры!$C$26-M153,T152))</f>
        <v>715297.46008797246</v>
      </c>
      <c r="T153" s="9">
        <f t="shared" si="39"/>
        <v>25680204.640938837</v>
      </c>
      <c r="U153" s="9">
        <f t="shared" si="40"/>
        <v>1455639.6877795961</v>
      </c>
      <c r="V153" s="9">
        <f t="shared" si="33"/>
        <v>70242445.684600532</v>
      </c>
    </row>
    <row r="154" spans="1:22" x14ac:dyDescent="0.25">
      <c r="A154" s="11">
        <v>153</v>
      </c>
      <c r="B154" s="11" t="s">
        <v>215</v>
      </c>
      <c r="C154" s="12" t="s">
        <v>75</v>
      </c>
      <c r="D154" s="13">
        <f>Параметры!$C$4*Параметры!$C$7*(1+Параметры!$C$8)^INT((A154-Параметры!$C$11-1)/12)</f>
        <v>6827038.9833759004</v>
      </c>
      <c r="E154" s="13">
        <f>D154/(1+Параметры!$C$13)</f>
        <v>5595933.5929310657</v>
      </c>
      <c r="F154" s="13">
        <f t="shared" si="34"/>
        <v>1231105.3904448347</v>
      </c>
      <c r="G154" s="13">
        <f>IF(AND(A154&gt;Параметры!$C$11,A154&lt;=Параметры!$C$11+3),Параметры!$C$28,0)</f>
        <v>0</v>
      </c>
      <c r="H154" s="13">
        <f t="shared" si="35"/>
        <v>1231105.3904448347</v>
      </c>
      <c r="I154" s="13">
        <f>E154*Параметры!$C$16</f>
        <v>839390.03893965983</v>
      </c>
      <c r="J154" s="13">
        <f>Параметры!$C$27</f>
        <v>170765.02732240438</v>
      </c>
      <c r="K154" s="13">
        <f>MAX(0,Параметры!$C$20-Параметры!$C$27*MAX(0,A154-Параметры!$C$11-1))*Параметры!$C$15/12</f>
        <v>106443.53369763204</v>
      </c>
      <c r="L154" s="13">
        <f t="shared" si="36"/>
        <v>4479334.99297137</v>
      </c>
      <c r="M154" s="13">
        <f>T153*Параметры!$C$10/12</f>
        <v>428003.41068231402</v>
      </c>
      <c r="N154" s="13">
        <f t="shared" si="37"/>
        <v>4051331.5822890559</v>
      </c>
      <c r="O154" s="13">
        <f>MAX(0,N154*Параметры!$C$14)</f>
        <v>810266.31645781128</v>
      </c>
      <c r="P154" s="13">
        <f t="shared" si="38"/>
        <v>3241065.2658312446</v>
      </c>
      <c r="Q154" s="13">
        <v>0</v>
      </c>
      <c r="R154" s="13">
        <v>0</v>
      </c>
      <c r="S154" s="13">
        <f>MAX(0,MIN(Параметры!$C$26-M154,T153))</f>
        <v>727219.08442277182</v>
      </c>
      <c r="T154" s="13">
        <f t="shared" si="39"/>
        <v>24952985.556516066</v>
      </c>
      <c r="U154" s="13">
        <f t="shared" si="40"/>
        <v>1453505.8182860427</v>
      </c>
      <c r="V154" s="13">
        <f t="shared" si="33"/>
        <v>71695951.502886578</v>
      </c>
    </row>
    <row r="155" spans="1:22" x14ac:dyDescent="0.25">
      <c r="A155" s="14">
        <v>154</v>
      </c>
      <c r="B155" s="14" t="s">
        <v>216</v>
      </c>
      <c r="C155" s="15" t="s">
        <v>75</v>
      </c>
      <c r="D155" s="9">
        <f>Параметры!$C$4*Параметры!$C$7*(1+Параметры!$C$8)^INT((A155-Параметры!$C$11-1)/12)</f>
        <v>6827038.9833759004</v>
      </c>
      <c r="E155" s="9">
        <f>D155/(1+Параметры!$C$13)</f>
        <v>5595933.5929310657</v>
      </c>
      <c r="F155" s="9">
        <f t="shared" si="34"/>
        <v>1231105.3904448347</v>
      </c>
      <c r="G155" s="9">
        <f>IF(AND(A155&gt;Параметры!$C$11,A155&lt;=Параметры!$C$11+3),Параметры!$C$28,0)</f>
        <v>0</v>
      </c>
      <c r="H155" s="9">
        <f t="shared" si="35"/>
        <v>1231105.3904448347</v>
      </c>
      <c r="I155" s="9">
        <f>E155*Параметры!$C$16</f>
        <v>839390.03893965983</v>
      </c>
      <c r="J155" s="9">
        <f>Параметры!$C$27</f>
        <v>170765.02732240438</v>
      </c>
      <c r="K155" s="9">
        <f>MAX(0,Параметры!$C$20-Параметры!$C$27*MAX(0,A155-Параметры!$C$11-1))*Параметры!$C$15/12</f>
        <v>106130.4644808743</v>
      </c>
      <c r="L155" s="9">
        <f t="shared" si="36"/>
        <v>4479648.062188128</v>
      </c>
      <c r="M155" s="9">
        <f>T154*Параметры!$C$10/12</f>
        <v>415883.09260860109</v>
      </c>
      <c r="N155" s="9">
        <f t="shared" si="37"/>
        <v>4063764.9695795272</v>
      </c>
      <c r="O155" s="9">
        <f>MAX(0,N155*Параметры!$C$14)</f>
        <v>812752.99391590548</v>
      </c>
      <c r="P155" s="9">
        <f t="shared" si="38"/>
        <v>3251011.9756636219</v>
      </c>
      <c r="Q155" s="9">
        <v>0</v>
      </c>
      <c r="R155" s="9">
        <v>0</v>
      </c>
      <c r="S155" s="9">
        <f>MAX(0,MIN(Параметры!$C$26-M155,T154))</f>
        <v>739339.40249648481</v>
      </c>
      <c r="T155" s="9">
        <f t="shared" si="39"/>
        <v>24213646.154019583</v>
      </c>
      <c r="U155" s="9">
        <f t="shared" si="40"/>
        <v>1451332.2100447072</v>
      </c>
      <c r="V155" s="9">
        <f t="shared" si="33"/>
        <v>73147283.71293129</v>
      </c>
    </row>
    <row r="156" spans="1:22" x14ac:dyDescent="0.25">
      <c r="A156" s="11">
        <v>155</v>
      </c>
      <c r="B156" s="11" t="s">
        <v>217</v>
      </c>
      <c r="C156" s="12" t="s">
        <v>75</v>
      </c>
      <c r="D156" s="13">
        <f>Параметры!$C$4*Параметры!$C$7*(1+Параметры!$C$8)^INT((A156-Параметры!$C$11-1)/12)</f>
        <v>6827038.9833759004</v>
      </c>
      <c r="E156" s="13">
        <f>D156/(1+Параметры!$C$13)</f>
        <v>5595933.5929310657</v>
      </c>
      <c r="F156" s="13">
        <f t="shared" si="34"/>
        <v>1231105.3904448347</v>
      </c>
      <c r="G156" s="13">
        <f>IF(AND(A156&gt;Параметры!$C$11,A156&lt;=Параметры!$C$11+3),Параметры!$C$28,0)</f>
        <v>0</v>
      </c>
      <c r="H156" s="13">
        <f t="shared" si="35"/>
        <v>1231105.3904448347</v>
      </c>
      <c r="I156" s="13">
        <f>E156*Параметры!$C$16</f>
        <v>839390.03893965983</v>
      </c>
      <c r="J156" s="13">
        <f>Параметры!$C$27</f>
        <v>170765.02732240438</v>
      </c>
      <c r="K156" s="13">
        <f>MAX(0,Параметры!$C$20-Параметры!$C$27*MAX(0,A156-Параметры!$C$11-1))*Параметры!$C$15/12</f>
        <v>105817.39526411657</v>
      </c>
      <c r="L156" s="13">
        <f t="shared" si="36"/>
        <v>4479961.131404886</v>
      </c>
      <c r="M156" s="13">
        <f>T155*Параметры!$C$10/12</f>
        <v>403560.76923365978</v>
      </c>
      <c r="N156" s="13">
        <f t="shared" si="37"/>
        <v>4076400.3621712262</v>
      </c>
      <c r="O156" s="13">
        <f>MAX(0,N156*Параметры!$C$14)</f>
        <v>815280.07243424526</v>
      </c>
      <c r="P156" s="13">
        <f t="shared" si="38"/>
        <v>3261120.289736981</v>
      </c>
      <c r="Q156" s="13">
        <v>0</v>
      </c>
      <c r="R156" s="13">
        <v>0</v>
      </c>
      <c r="S156" s="13">
        <f>MAX(0,MIN(Параметры!$C$26-M156,T155))</f>
        <v>751661.72587142605</v>
      </c>
      <c r="T156" s="13">
        <f t="shared" si="39"/>
        <v>23461984.428148158</v>
      </c>
      <c r="U156" s="13">
        <f t="shared" si="40"/>
        <v>1449118.2007431248</v>
      </c>
      <c r="V156" s="13">
        <f t="shared" si="33"/>
        <v>74596401.913674414</v>
      </c>
    </row>
    <row r="157" spans="1:22" x14ac:dyDescent="0.25">
      <c r="A157" s="14">
        <v>156</v>
      </c>
      <c r="B157" s="14" t="s">
        <v>218</v>
      </c>
      <c r="C157" s="15" t="s">
        <v>75</v>
      </c>
      <c r="D157" s="9">
        <f>Параметры!$C$4*Параметры!$C$7*(1+Параметры!$C$8)^INT((A157-Параметры!$C$11-1)/12)</f>
        <v>6827038.9833759004</v>
      </c>
      <c r="E157" s="9">
        <f>D157/(1+Параметры!$C$13)</f>
        <v>5595933.5929310657</v>
      </c>
      <c r="F157" s="9">
        <f t="shared" si="34"/>
        <v>1231105.3904448347</v>
      </c>
      <c r="G157" s="9">
        <f>IF(AND(A157&gt;Параметры!$C$11,A157&lt;=Параметры!$C$11+3),Параметры!$C$28,0)</f>
        <v>0</v>
      </c>
      <c r="H157" s="9">
        <f t="shared" si="35"/>
        <v>1231105.3904448347</v>
      </c>
      <c r="I157" s="9">
        <f>E157*Параметры!$C$16</f>
        <v>839390.03893965983</v>
      </c>
      <c r="J157" s="9">
        <f>Параметры!$C$27</f>
        <v>170765.02732240438</v>
      </c>
      <c r="K157" s="9">
        <f>MAX(0,Параметры!$C$20-Параметры!$C$27*MAX(0,A157-Параметры!$C$11-1))*Параметры!$C$15/12</f>
        <v>105504.32604735882</v>
      </c>
      <c r="L157" s="9">
        <f t="shared" si="36"/>
        <v>4480274.2006216431</v>
      </c>
      <c r="M157" s="9">
        <f>T156*Параметры!$C$10/12</f>
        <v>391033.0738024693</v>
      </c>
      <c r="N157" s="9">
        <f t="shared" si="37"/>
        <v>4089241.1268191738</v>
      </c>
      <c r="O157" s="9">
        <f>MAX(0,N157*Параметры!$C$14)</f>
        <v>817848.22536383476</v>
      </c>
      <c r="P157" s="9">
        <f t="shared" si="38"/>
        <v>3271392.901455339</v>
      </c>
      <c r="Q157" s="9">
        <v>0</v>
      </c>
      <c r="R157" s="9">
        <v>0</v>
      </c>
      <c r="S157" s="9">
        <f>MAX(0,MIN(Параметры!$C$26-M157,T156))</f>
        <v>764189.4213026166</v>
      </c>
      <c r="T157" s="9">
        <f t="shared" si="39"/>
        <v>22697795.006845541</v>
      </c>
      <c r="U157" s="9">
        <f t="shared" si="40"/>
        <v>1446863.1170302923</v>
      </c>
      <c r="V157" s="9">
        <f t="shared" si="33"/>
        <v>76043265.030704707</v>
      </c>
    </row>
    <row r="158" spans="1:22" x14ac:dyDescent="0.25">
      <c r="A158" s="11">
        <v>157</v>
      </c>
      <c r="B158" s="11" t="s">
        <v>219</v>
      </c>
      <c r="C158" s="12" t="s">
        <v>75</v>
      </c>
      <c r="D158" s="13">
        <f>Параметры!$C$4*Параметры!$C$7*(1+Параметры!$C$8)^INT((A158-Параметры!$C$11-1)/12)</f>
        <v>7373202.1020459728</v>
      </c>
      <c r="E158" s="13">
        <f>D158/(1+Параметры!$C$13)</f>
        <v>6043608.2803655518</v>
      </c>
      <c r="F158" s="13">
        <f t="shared" si="34"/>
        <v>1329593.821680421</v>
      </c>
      <c r="G158" s="13">
        <f>IF(AND(A158&gt;Параметры!$C$11,A158&lt;=Параметры!$C$11+3),Параметры!$C$28,0)</f>
        <v>0</v>
      </c>
      <c r="H158" s="13">
        <f t="shared" si="35"/>
        <v>1329593.821680421</v>
      </c>
      <c r="I158" s="13">
        <f>E158*Параметры!$C$16</f>
        <v>906541.24205483275</v>
      </c>
      <c r="J158" s="13">
        <f>Параметры!$C$27</f>
        <v>170765.02732240438</v>
      </c>
      <c r="K158" s="13">
        <f>MAX(0,Параметры!$C$20-Параметры!$C$27*MAX(0,A158-Параметры!$C$11-1))*Параметры!$C$15/12</f>
        <v>105191.25683060108</v>
      </c>
      <c r="L158" s="13">
        <f t="shared" si="36"/>
        <v>4861110.7541577136</v>
      </c>
      <c r="M158" s="13">
        <f>T157*Параметры!$C$10/12</f>
        <v>378296.58344742568</v>
      </c>
      <c r="N158" s="13">
        <f t="shared" si="37"/>
        <v>4482814.170710288</v>
      </c>
      <c r="O158" s="13">
        <f>MAX(0,N158*Параметры!$C$14)</f>
        <v>896562.83414205769</v>
      </c>
      <c r="P158" s="13">
        <f t="shared" si="38"/>
        <v>3586251.3365682303</v>
      </c>
      <c r="Q158" s="13">
        <v>0</v>
      </c>
      <c r="R158" s="13">
        <v>0</v>
      </c>
      <c r="S158" s="13">
        <f>MAX(0,MIN(Параметры!$C$26-M158,T157))</f>
        <v>776925.91165766027</v>
      </c>
      <c r="T158" s="13">
        <f t="shared" si="39"/>
        <v>21920869.09518788</v>
      </c>
      <c r="U158" s="13">
        <f t="shared" si="40"/>
        <v>1650496.6305525536</v>
      </c>
      <c r="V158" s="13">
        <f t="shared" si="33"/>
        <v>77693761.661257267</v>
      </c>
    </row>
    <row r="159" spans="1:22" x14ac:dyDescent="0.25">
      <c r="A159" s="14">
        <v>158</v>
      </c>
      <c r="B159" s="14" t="s">
        <v>220</v>
      </c>
      <c r="C159" s="15" t="s">
        <v>75</v>
      </c>
      <c r="D159" s="9">
        <f>Параметры!$C$4*Параметры!$C$7*(1+Параметры!$C$8)^INT((A159-Параметры!$C$11-1)/12)</f>
        <v>7373202.1020459728</v>
      </c>
      <c r="E159" s="9">
        <f>D159/(1+Параметры!$C$13)</f>
        <v>6043608.2803655518</v>
      </c>
      <c r="F159" s="9">
        <f t="shared" si="34"/>
        <v>1329593.821680421</v>
      </c>
      <c r="G159" s="9">
        <f>IF(AND(A159&gt;Параметры!$C$11,A159&lt;=Параметры!$C$11+3),Параметры!$C$28,0)</f>
        <v>0</v>
      </c>
      <c r="H159" s="9">
        <f t="shared" si="35"/>
        <v>1329593.821680421</v>
      </c>
      <c r="I159" s="9">
        <f>E159*Параметры!$C$16</f>
        <v>906541.24205483275</v>
      </c>
      <c r="J159" s="9">
        <f>Параметры!$C$27</f>
        <v>170765.02732240438</v>
      </c>
      <c r="K159" s="9">
        <f>MAX(0,Параметры!$C$20-Параметры!$C$27*MAX(0,A159-Параметры!$C$11-1))*Параметры!$C$15/12</f>
        <v>104878.18761384334</v>
      </c>
      <c r="L159" s="9">
        <f t="shared" si="36"/>
        <v>4861423.8233744716</v>
      </c>
      <c r="M159" s="9">
        <f>T158*Параметры!$C$10/12</f>
        <v>365347.81825313135</v>
      </c>
      <c r="N159" s="9">
        <f t="shared" si="37"/>
        <v>4496076.00512134</v>
      </c>
      <c r="O159" s="9">
        <f>MAX(0,N159*Параметры!$C$14)</f>
        <v>899215.20102426806</v>
      </c>
      <c r="P159" s="9">
        <f t="shared" si="38"/>
        <v>3596860.8040970722</v>
      </c>
      <c r="Q159" s="9">
        <v>0</v>
      </c>
      <c r="R159" s="9">
        <v>0</v>
      </c>
      <c r="S159" s="9">
        <f>MAX(0,MIN(Параметры!$C$26-M159,T158))</f>
        <v>789874.67685195454</v>
      </c>
      <c r="T159" s="9">
        <f t="shared" si="39"/>
        <v>21130994.418335926</v>
      </c>
      <c r="U159" s="9">
        <f t="shared" si="40"/>
        <v>1648157.332887101</v>
      </c>
      <c r="V159" s="9">
        <f t="shared" si="33"/>
        <v>79341918.994144365</v>
      </c>
    </row>
    <row r="160" spans="1:22" x14ac:dyDescent="0.25">
      <c r="A160" s="11">
        <v>159</v>
      </c>
      <c r="B160" s="11" t="s">
        <v>221</v>
      </c>
      <c r="C160" s="12" t="s">
        <v>75</v>
      </c>
      <c r="D160" s="13">
        <f>Параметры!$C$4*Параметры!$C$7*(1+Параметры!$C$8)^INT((A160-Параметры!$C$11-1)/12)</f>
        <v>7373202.1020459728</v>
      </c>
      <c r="E160" s="13">
        <f>D160/(1+Параметры!$C$13)</f>
        <v>6043608.2803655518</v>
      </c>
      <c r="F160" s="13">
        <f t="shared" si="34"/>
        <v>1329593.821680421</v>
      </c>
      <c r="G160" s="13">
        <f>IF(AND(A160&gt;Параметры!$C$11,A160&lt;=Параметры!$C$11+3),Параметры!$C$28,0)</f>
        <v>0</v>
      </c>
      <c r="H160" s="13">
        <f t="shared" si="35"/>
        <v>1329593.821680421</v>
      </c>
      <c r="I160" s="13">
        <f>E160*Параметры!$C$16</f>
        <v>906541.24205483275</v>
      </c>
      <c r="J160" s="13">
        <f>Параметры!$C$27</f>
        <v>170765.02732240438</v>
      </c>
      <c r="K160" s="13">
        <f>MAX(0,Параметры!$C$20-Параметры!$C$27*MAX(0,A160-Параметры!$C$11-1))*Параметры!$C$15/12</f>
        <v>104565.11839708559</v>
      </c>
      <c r="L160" s="13">
        <f t="shared" si="36"/>
        <v>4861736.8925912287</v>
      </c>
      <c r="M160" s="13">
        <f>T159*Параметры!$C$10/12</f>
        <v>352183.24030559877</v>
      </c>
      <c r="N160" s="13">
        <f t="shared" si="37"/>
        <v>4509553.6522856299</v>
      </c>
      <c r="O160" s="13">
        <f>MAX(0,N160*Параметры!$C$14)</f>
        <v>901910.73045712605</v>
      </c>
      <c r="P160" s="13">
        <f t="shared" si="38"/>
        <v>3607642.9218285037</v>
      </c>
      <c r="Q160" s="13">
        <v>0</v>
      </c>
      <c r="R160" s="13">
        <v>0</v>
      </c>
      <c r="S160" s="13">
        <f>MAX(0,MIN(Параметры!$C$26-M160,T159))</f>
        <v>803039.25479948707</v>
      </c>
      <c r="T160" s="13">
        <f t="shared" si="39"/>
        <v>20327955.163536437</v>
      </c>
      <c r="U160" s="13">
        <f t="shared" si="40"/>
        <v>1645774.8726710002</v>
      </c>
      <c r="V160" s="13">
        <f t="shared" si="33"/>
        <v>80987693.866815358</v>
      </c>
    </row>
    <row r="161" spans="1:22" x14ac:dyDescent="0.25">
      <c r="A161" s="14">
        <v>160</v>
      </c>
      <c r="B161" s="14" t="s">
        <v>222</v>
      </c>
      <c r="C161" s="15" t="s">
        <v>75</v>
      </c>
      <c r="D161" s="9">
        <f>Параметры!$C$4*Параметры!$C$7*(1+Параметры!$C$8)^INT((A161-Параметры!$C$11-1)/12)</f>
        <v>7373202.1020459728</v>
      </c>
      <c r="E161" s="9">
        <f>D161/(1+Параметры!$C$13)</f>
        <v>6043608.2803655518</v>
      </c>
      <c r="F161" s="9">
        <f t="shared" si="34"/>
        <v>1329593.821680421</v>
      </c>
      <c r="G161" s="9">
        <f>IF(AND(A161&gt;Параметры!$C$11,A161&lt;=Параметры!$C$11+3),Параметры!$C$28,0)</f>
        <v>0</v>
      </c>
      <c r="H161" s="9">
        <f t="shared" si="35"/>
        <v>1329593.821680421</v>
      </c>
      <c r="I161" s="9">
        <f>E161*Параметры!$C$16</f>
        <v>906541.24205483275</v>
      </c>
      <c r="J161" s="9">
        <f>Параметры!$C$27</f>
        <v>170765.02732240438</v>
      </c>
      <c r="K161" s="9">
        <f>MAX(0,Параметры!$C$20-Параметры!$C$27*MAX(0,A161-Параметры!$C$11-1))*Параметры!$C$15/12</f>
        <v>104252.04918032787</v>
      </c>
      <c r="L161" s="9">
        <f t="shared" si="36"/>
        <v>4862049.9618079867</v>
      </c>
      <c r="M161" s="9">
        <f>T160*Параметры!$C$10/12</f>
        <v>338799.25272560731</v>
      </c>
      <c r="N161" s="9">
        <f t="shared" si="37"/>
        <v>4523250.709082379</v>
      </c>
      <c r="O161" s="9">
        <f>MAX(0,N161*Параметры!$C$14)</f>
        <v>904650.14181647589</v>
      </c>
      <c r="P161" s="9">
        <f t="shared" si="38"/>
        <v>3618600.5672659031</v>
      </c>
      <c r="Q161" s="9">
        <v>0</v>
      </c>
      <c r="R161" s="9">
        <v>0</v>
      </c>
      <c r="S161" s="9">
        <f>MAX(0,MIN(Параметры!$C$26-M161,T160))</f>
        <v>816423.24237947864</v>
      </c>
      <c r="T161" s="9">
        <f t="shared" si="39"/>
        <v>19511531.921156958</v>
      </c>
      <c r="U161" s="9">
        <f t="shared" si="40"/>
        <v>1643348.530528408</v>
      </c>
      <c r="V161" s="9">
        <f t="shared" si="33"/>
        <v>82631042.39734377</v>
      </c>
    </row>
    <row r="162" spans="1:22" x14ac:dyDescent="0.25">
      <c r="A162" s="11">
        <v>161</v>
      </c>
      <c r="B162" s="11" t="s">
        <v>223</v>
      </c>
      <c r="C162" s="12" t="s">
        <v>75</v>
      </c>
      <c r="D162" s="13">
        <f>Параметры!$C$4*Параметры!$C$7*(1+Параметры!$C$8)^INT((A162-Параметры!$C$11-1)/12)</f>
        <v>7373202.1020459728</v>
      </c>
      <c r="E162" s="13">
        <f>D162/(1+Параметры!$C$13)</f>
        <v>6043608.2803655518</v>
      </c>
      <c r="F162" s="13">
        <f t="shared" si="34"/>
        <v>1329593.821680421</v>
      </c>
      <c r="G162" s="13">
        <f>IF(AND(A162&gt;Параметры!$C$11,A162&lt;=Параметры!$C$11+3),Параметры!$C$28,0)</f>
        <v>0</v>
      </c>
      <c r="H162" s="13">
        <f t="shared" si="35"/>
        <v>1329593.821680421</v>
      </c>
      <c r="I162" s="13">
        <f>E162*Параметры!$C$16</f>
        <v>906541.24205483275</v>
      </c>
      <c r="J162" s="13">
        <f>Параметры!$C$27</f>
        <v>170765.02732240438</v>
      </c>
      <c r="K162" s="13">
        <f>MAX(0,Параметры!$C$20-Параметры!$C$27*MAX(0,A162-Параметры!$C$11-1))*Параметры!$C$15/12</f>
        <v>103938.97996357012</v>
      </c>
      <c r="L162" s="13">
        <f t="shared" si="36"/>
        <v>4862363.0310247447</v>
      </c>
      <c r="M162" s="13">
        <f>T161*Параметры!$C$10/12</f>
        <v>325192.19868594932</v>
      </c>
      <c r="N162" s="13">
        <f t="shared" si="37"/>
        <v>4537170.8323387951</v>
      </c>
      <c r="O162" s="13">
        <f>MAX(0,N162*Параметры!$C$14)</f>
        <v>907434.16646775906</v>
      </c>
      <c r="P162" s="13">
        <f t="shared" si="38"/>
        <v>3629736.6658710362</v>
      </c>
      <c r="Q162" s="13">
        <v>0</v>
      </c>
      <c r="R162" s="13">
        <v>0</v>
      </c>
      <c r="S162" s="13">
        <f>MAX(0,MIN(Параметры!$C$26-M162,T161))</f>
        <v>830030.29641913658</v>
      </c>
      <c r="T162" s="13">
        <f t="shared" si="39"/>
        <v>18681501.624737822</v>
      </c>
      <c r="U162" s="13">
        <f t="shared" si="40"/>
        <v>1640877.5750938831</v>
      </c>
      <c r="V162" s="13">
        <f t="shared" si="33"/>
        <v>84271919.97243765</v>
      </c>
    </row>
    <row r="163" spans="1:22" x14ac:dyDescent="0.25">
      <c r="A163" s="14">
        <v>162</v>
      </c>
      <c r="B163" s="14" t="s">
        <v>224</v>
      </c>
      <c r="C163" s="15" t="s">
        <v>75</v>
      </c>
      <c r="D163" s="9">
        <f>Параметры!$C$4*Параметры!$C$7*(1+Параметры!$C$8)^INT((A163-Параметры!$C$11-1)/12)</f>
        <v>7373202.1020459728</v>
      </c>
      <c r="E163" s="9">
        <f>D163/(1+Параметры!$C$13)</f>
        <v>6043608.2803655518</v>
      </c>
      <c r="F163" s="9">
        <f t="shared" si="34"/>
        <v>1329593.821680421</v>
      </c>
      <c r="G163" s="9">
        <f>IF(AND(A163&gt;Параметры!$C$11,A163&lt;=Параметры!$C$11+3),Параметры!$C$28,0)</f>
        <v>0</v>
      </c>
      <c r="H163" s="9">
        <f t="shared" si="35"/>
        <v>1329593.821680421</v>
      </c>
      <c r="I163" s="9">
        <f>E163*Параметры!$C$16</f>
        <v>906541.24205483275</v>
      </c>
      <c r="J163" s="9">
        <f>Параметры!$C$27</f>
        <v>170765.02732240438</v>
      </c>
      <c r="K163" s="9">
        <f>MAX(0,Параметры!$C$20-Параметры!$C$27*MAX(0,A163-Параметры!$C$11-1))*Параметры!$C$15/12</f>
        <v>103625.91074681237</v>
      </c>
      <c r="L163" s="9">
        <f t="shared" si="36"/>
        <v>4862676.1002415018</v>
      </c>
      <c r="M163" s="9">
        <f>T162*Параметры!$C$10/12</f>
        <v>311358.36041229701</v>
      </c>
      <c r="N163" s="9">
        <f t="shared" si="37"/>
        <v>4551317.739829205</v>
      </c>
      <c r="O163" s="9">
        <f>MAX(0,N163*Параметры!$C$14)</f>
        <v>910263.54796584102</v>
      </c>
      <c r="P163" s="9">
        <f t="shared" si="38"/>
        <v>3641054.1918633641</v>
      </c>
      <c r="Q163" s="9">
        <v>0</v>
      </c>
      <c r="R163" s="9">
        <v>0</v>
      </c>
      <c r="S163" s="9">
        <f>MAX(0,MIN(Параметры!$C$26-M163,T162))</f>
        <v>843864.13469278882</v>
      </c>
      <c r="T163" s="9">
        <f t="shared" si="39"/>
        <v>17837637.490045033</v>
      </c>
      <c r="U163" s="9">
        <f t="shared" si="40"/>
        <v>1638361.2628125586</v>
      </c>
      <c r="V163" s="9">
        <f t="shared" ref="V163:V194" si="41">V162+U163</f>
        <v>85910281.235250205</v>
      </c>
    </row>
    <row r="164" spans="1:22" x14ac:dyDescent="0.25">
      <c r="A164" s="11">
        <v>163</v>
      </c>
      <c r="B164" s="11" t="s">
        <v>225</v>
      </c>
      <c r="C164" s="12" t="s">
        <v>75</v>
      </c>
      <c r="D164" s="13">
        <f>Параметры!$C$4*Параметры!$C$7*(1+Параметры!$C$8)^INT((A164-Параметры!$C$11-1)/12)</f>
        <v>7373202.1020459728</v>
      </c>
      <c r="E164" s="13">
        <f>D164/(1+Параметры!$C$13)</f>
        <v>6043608.2803655518</v>
      </c>
      <c r="F164" s="13">
        <f t="shared" si="34"/>
        <v>1329593.821680421</v>
      </c>
      <c r="G164" s="13">
        <f>IF(AND(A164&gt;Параметры!$C$11,A164&lt;=Параметры!$C$11+3),Параметры!$C$28,0)</f>
        <v>0</v>
      </c>
      <c r="H164" s="13">
        <f t="shared" si="35"/>
        <v>1329593.821680421</v>
      </c>
      <c r="I164" s="13">
        <f>E164*Параметры!$C$16</f>
        <v>906541.24205483275</v>
      </c>
      <c r="J164" s="13">
        <f>Параметры!$C$27</f>
        <v>170765.02732240438</v>
      </c>
      <c r="K164" s="13">
        <f>MAX(0,Параметры!$C$20-Параметры!$C$27*MAX(0,A164-Параметры!$C$11-1))*Параметры!$C$15/12</f>
        <v>103312.84153005463</v>
      </c>
      <c r="L164" s="13">
        <f t="shared" si="36"/>
        <v>4862989.1694582598</v>
      </c>
      <c r="M164" s="13">
        <f>T163*Параметры!$C$10/12</f>
        <v>297293.95816741727</v>
      </c>
      <c r="N164" s="13">
        <f t="shared" si="37"/>
        <v>4565695.2112908429</v>
      </c>
      <c r="O164" s="13">
        <f>MAX(0,N164*Параметры!$C$14)</f>
        <v>913139.04225816857</v>
      </c>
      <c r="P164" s="13">
        <f t="shared" si="38"/>
        <v>3652556.1690326743</v>
      </c>
      <c r="Q164" s="13">
        <v>0</v>
      </c>
      <c r="R164" s="13">
        <v>0</v>
      </c>
      <c r="S164" s="13">
        <f>MAX(0,MIN(Параметры!$C$26-M164,T163))</f>
        <v>857928.53693766869</v>
      </c>
      <c r="T164" s="13">
        <f t="shared" si="39"/>
        <v>16979708.953107364</v>
      </c>
      <c r="U164" s="13">
        <f t="shared" si="40"/>
        <v>1635798.8377369894</v>
      </c>
      <c r="V164" s="13">
        <f t="shared" si="41"/>
        <v>87546080.072987199</v>
      </c>
    </row>
    <row r="165" spans="1:22" x14ac:dyDescent="0.25">
      <c r="A165" s="14">
        <v>164</v>
      </c>
      <c r="B165" s="14" t="s">
        <v>226</v>
      </c>
      <c r="C165" s="15" t="s">
        <v>75</v>
      </c>
      <c r="D165" s="9">
        <f>Параметры!$C$4*Параметры!$C$7*(1+Параметры!$C$8)^INT((A165-Параметры!$C$11-1)/12)</f>
        <v>7373202.1020459728</v>
      </c>
      <c r="E165" s="9">
        <f>D165/(1+Параметры!$C$13)</f>
        <v>6043608.2803655518</v>
      </c>
      <c r="F165" s="9">
        <f t="shared" si="34"/>
        <v>1329593.821680421</v>
      </c>
      <c r="G165" s="9">
        <f>IF(AND(A165&gt;Параметры!$C$11,A165&lt;=Параметры!$C$11+3),Параметры!$C$28,0)</f>
        <v>0</v>
      </c>
      <c r="H165" s="9">
        <f t="shared" si="35"/>
        <v>1329593.821680421</v>
      </c>
      <c r="I165" s="9">
        <f>E165*Параметры!$C$16</f>
        <v>906541.24205483275</v>
      </c>
      <c r="J165" s="9">
        <f>Параметры!$C$27</f>
        <v>170765.02732240438</v>
      </c>
      <c r="K165" s="9">
        <f>MAX(0,Параметры!$C$20-Параметры!$C$27*MAX(0,A165-Параметры!$C$11-1))*Параметры!$C$15/12</f>
        <v>102999.7723132969</v>
      </c>
      <c r="L165" s="9">
        <f t="shared" si="36"/>
        <v>4863302.2386750178</v>
      </c>
      <c r="M165" s="9">
        <f>T164*Параметры!$C$10/12</f>
        <v>282995.14921845606</v>
      </c>
      <c r="N165" s="9">
        <f t="shared" si="37"/>
        <v>4580307.089456562</v>
      </c>
      <c r="O165" s="9">
        <f>MAX(0,N165*Параметры!$C$14)</f>
        <v>916061.41789131239</v>
      </c>
      <c r="P165" s="9">
        <f t="shared" si="38"/>
        <v>3664245.6715652496</v>
      </c>
      <c r="Q165" s="9">
        <v>0</v>
      </c>
      <c r="R165" s="9">
        <v>0</v>
      </c>
      <c r="S165" s="9">
        <f>MAX(0,MIN(Параметры!$C$26-M165,T164))</f>
        <v>872227.34588662977</v>
      </c>
      <c r="T165" s="9">
        <f t="shared" si="39"/>
        <v>16107481.607220735</v>
      </c>
      <c r="U165" s="9">
        <f t="shared" si="40"/>
        <v>1633189.5313206036</v>
      </c>
      <c r="V165" s="9">
        <f t="shared" si="41"/>
        <v>89179269.604307801</v>
      </c>
    </row>
    <row r="166" spans="1:22" x14ac:dyDescent="0.25">
      <c r="A166" s="11">
        <v>165</v>
      </c>
      <c r="B166" s="11" t="s">
        <v>227</v>
      </c>
      <c r="C166" s="12" t="s">
        <v>75</v>
      </c>
      <c r="D166" s="13">
        <f>Параметры!$C$4*Параметры!$C$7*(1+Параметры!$C$8)^INT((A166-Параметры!$C$11-1)/12)</f>
        <v>7373202.1020459728</v>
      </c>
      <c r="E166" s="13">
        <f>D166/(1+Параметры!$C$13)</f>
        <v>6043608.2803655518</v>
      </c>
      <c r="F166" s="13">
        <f t="shared" si="34"/>
        <v>1329593.821680421</v>
      </c>
      <c r="G166" s="13">
        <f>IF(AND(A166&gt;Параметры!$C$11,A166&lt;=Параметры!$C$11+3),Параметры!$C$28,0)</f>
        <v>0</v>
      </c>
      <c r="H166" s="13">
        <f t="shared" si="35"/>
        <v>1329593.821680421</v>
      </c>
      <c r="I166" s="13">
        <f>E166*Параметры!$C$16</f>
        <v>906541.24205483275</v>
      </c>
      <c r="J166" s="13">
        <f>Параметры!$C$27</f>
        <v>170765.02732240438</v>
      </c>
      <c r="K166" s="13">
        <f>MAX(0,Параметры!$C$20-Параметры!$C$27*MAX(0,A166-Параметры!$C$11-1))*Параметры!$C$15/12</f>
        <v>102686.70309653915</v>
      </c>
      <c r="L166" s="13">
        <f t="shared" si="36"/>
        <v>4863615.3078917759</v>
      </c>
      <c r="M166" s="13">
        <f>T165*Параметры!$C$10/12</f>
        <v>268458.02678701229</v>
      </c>
      <c r="N166" s="13">
        <f t="shared" si="37"/>
        <v>4595157.281104764</v>
      </c>
      <c r="O166" s="13">
        <f>MAX(0,N166*Параметры!$C$14)</f>
        <v>919031.45622095279</v>
      </c>
      <c r="P166" s="13">
        <f t="shared" si="38"/>
        <v>3676125.8248838112</v>
      </c>
      <c r="Q166" s="13">
        <v>0</v>
      </c>
      <c r="R166" s="13">
        <v>0</v>
      </c>
      <c r="S166" s="13">
        <f>MAX(0,MIN(Параметры!$C$26-M166,T165))</f>
        <v>886764.46831807354</v>
      </c>
      <c r="T166" s="13">
        <f t="shared" si="39"/>
        <v>15220717.138902662</v>
      </c>
      <c r="U166" s="13">
        <f t="shared" si="40"/>
        <v>1630532.5622077212</v>
      </c>
      <c r="V166" s="13">
        <f t="shared" si="41"/>
        <v>90809802.166515529</v>
      </c>
    </row>
    <row r="167" spans="1:22" x14ac:dyDescent="0.25">
      <c r="A167" s="14">
        <v>166</v>
      </c>
      <c r="B167" s="14" t="s">
        <v>228</v>
      </c>
      <c r="C167" s="15" t="s">
        <v>75</v>
      </c>
      <c r="D167" s="9">
        <f>Параметры!$C$4*Параметры!$C$7*(1+Параметры!$C$8)^INT((A167-Параметры!$C$11-1)/12)</f>
        <v>7373202.1020459728</v>
      </c>
      <c r="E167" s="9">
        <f>D167/(1+Параметры!$C$13)</f>
        <v>6043608.2803655518</v>
      </c>
      <c r="F167" s="9">
        <f t="shared" si="34"/>
        <v>1329593.821680421</v>
      </c>
      <c r="G167" s="9">
        <f>IF(AND(A167&gt;Параметры!$C$11,A167&lt;=Параметры!$C$11+3),Параметры!$C$28,0)</f>
        <v>0</v>
      </c>
      <c r="H167" s="9">
        <f t="shared" si="35"/>
        <v>1329593.821680421</v>
      </c>
      <c r="I167" s="9">
        <f>E167*Параметры!$C$16</f>
        <v>906541.24205483275</v>
      </c>
      <c r="J167" s="9">
        <f>Параметры!$C$27</f>
        <v>170765.02732240438</v>
      </c>
      <c r="K167" s="9">
        <f>MAX(0,Параметры!$C$20-Параметры!$C$27*MAX(0,A167-Параметры!$C$11-1))*Параметры!$C$15/12</f>
        <v>102373.63387978141</v>
      </c>
      <c r="L167" s="9">
        <f t="shared" si="36"/>
        <v>4863928.3771085329</v>
      </c>
      <c r="M167" s="9">
        <f>T166*Параметры!$C$10/12</f>
        <v>253678.61898171107</v>
      </c>
      <c r="N167" s="9">
        <f t="shared" si="37"/>
        <v>4610249.7581268223</v>
      </c>
      <c r="O167" s="9">
        <f>MAX(0,N167*Параметры!$C$14)</f>
        <v>922049.95162536448</v>
      </c>
      <c r="P167" s="9">
        <f t="shared" si="38"/>
        <v>3688199.8065014579</v>
      </c>
      <c r="Q167" s="9">
        <v>0</v>
      </c>
      <c r="R167" s="9">
        <v>0</v>
      </c>
      <c r="S167" s="9">
        <f>MAX(0,MIN(Параметры!$C$26-M167,T166))</f>
        <v>901543.87612337479</v>
      </c>
      <c r="T167" s="9">
        <f t="shared" si="39"/>
        <v>14319173.262779288</v>
      </c>
      <c r="U167" s="9">
        <f t="shared" si="40"/>
        <v>1627827.1360200667</v>
      </c>
      <c r="V167" s="9">
        <f t="shared" si="41"/>
        <v>92437629.302535594</v>
      </c>
    </row>
    <row r="168" spans="1:22" x14ac:dyDescent="0.25">
      <c r="A168" s="11">
        <v>167</v>
      </c>
      <c r="B168" s="11" t="s">
        <v>229</v>
      </c>
      <c r="C168" s="12" t="s">
        <v>75</v>
      </c>
      <c r="D168" s="13">
        <f>Параметры!$C$4*Параметры!$C$7*(1+Параметры!$C$8)^INT((A168-Параметры!$C$11-1)/12)</f>
        <v>7373202.1020459728</v>
      </c>
      <c r="E168" s="13">
        <f>D168/(1+Параметры!$C$13)</f>
        <v>6043608.2803655518</v>
      </c>
      <c r="F168" s="13">
        <f t="shared" si="34"/>
        <v>1329593.821680421</v>
      </c>
      <c r="G168" s="13">
        <f>IF(AND(A168&gt;Параметры!$C$11,A168&lt;=Параметры!$C$11+3),Параметры!$C$28,0)</f>
        <v>0</v>
      </c>
      <c r="H168" s="13">
        <f t="shared" si="35"/>
        <v>1329593.821680421</v>
      </c>
      <c r="I168" s="13">
        <f>E168*Параметры!$C$16</f>
        <v>906541.24205483275</v>
      </c>
      <c r="J168" s="13">
        <f>Параметры!$C$27</f>
        <v>170765.02732240438</v>
      </c>
      <c r="K168" s="13">
        <f>MAX(0,Параметры!$C$20-Параметры!$C$27*MAX(0,A168-Параметры!$C$11-1))*Параметры!$C$15/12</f>
        <v>102060.56466302367</v>
      </c>
      <c r="L168" s="13">
        <f t="shared" si="36"/>
        <v>4864241.4463252909</v>
      </c>
      <c r="M168" s="13">
        <f>T167*Параметры!$C$10/12</f>
        <v>238652.88771298816</v>
      </c>
      <c r="N168" s="13">
        <f t="shared" si="37"/>
        <v>4625588.5586123029</v>
      </c>
      <c r="O168" s="13">
        <f>MAX(0,N168*Параметры!$C$14)</f>
        <v>925117.71172246058</v>
      </c>
      <c r="P168" s="13">
        <f t="shared" si="38"/>
        <v>3700470.8468898423</v>
      </c>
      <c r="Q168" s="13">
        <v>0</v>
      </c>
      <c r="R168" s="13">
        <v>0</v>
      </c>
      <c r="S168" s="13">
        <f>MAX(0,MIN(Параметры!$C$26-M168,T167))</f>
        <v>916569.60739209771</v>
      </c>
      <c r="T168" s="13">
        <f t="shared" si="39"/>
        <v>13402603.655387191</v>
      </c>
      <c r="U168" s="13">
        <f t="shared" si="40"/>
        <v>1625072.445139728</v>
      </c>
      <c r="V168" s="13">
        <f t="shared" si="41"/>
        <v>94062701.747675315</v>
      </c>
    </row>
    <row r="169" spans="1:22" x14ac:dyDescent="0.25">
      <c r="A169" s="14">
        <v>168</v>
      </c>
      <c r="B169" s="14" t="s">
        <v>230</v>
      </c>
      <c r="C169" s="15" t="s">
        <v>75</v>
      </c>
      <c r="D169" s="9">
        <f>Параметры!$C$4*Параметры!$C$7*(1+Параметры!$C$8)^INT((A169-Параметры!$C$11-1)/12)</f>
        <v>7373202.1020459728</v>
      </c>
      <c r="E169" s="9">
        <f>D169/(1+Параметры!$C$13)</f>
        <v>6043608.2803655518</v>
      </c>
      <c r="F169" s="9">
        <f t="shared" si="34"/>
        <v>1329593.821680421</v>
      </c>
      <c r="G169" s="9">
        <f>IF(AND(A169&gt;Параметры!$C$11,A169&lt;=Параметры!$C$11+3),Параметры!$C$28,0)</f>
        <v>0</v>
      </c>
      <c r="H169" s="9">
        <f t="shared" si="35"/>
        <v>1329593.821680421</v>
      </c>
      <c r="I169" s="9">
        <f>E169*Параметры!$C$16</f>
        <v>906541.24205483275</v>
      </c>
      <c r="J169" s="9">
        <f>Параметры!$C$27</f>
        <v>170765.02732240438</v>
      </c>
      <c r="K169" s="9">
        <f>MAX(0,Параметры!$C$20-Параметры!$C$27*MAX(0,A169-Параметры!$C$11-1))*Параметры!$C$15/12</f>
        <v>101747.49544626592</v>
      </c>
      <c r="L169" s="9">
        <f t="shared" si="36"/>
        <v>4864554.515542049</v>
      </c>
      <c r="M169" s="9">
        <f>T168*Параметры!$C$10/12</f>
        <v>223376.72758978652</v>
      </c>
      <c r="N169" s="9">
        <f t="shared" si="37"/>
        <v>4641177.7879522629</v>
      </c>
      <c r="O169" s="9">
        <f>MAX(0,N169*Параметры!$C$14)</f>
        <v>928235.5575904526</v>
      </c>
      <c r="P169" s="9">
        <f t="shared" si="38"/>
        <v>3712942.2303618104</v>
      </c>
      <c r="Q169" s="9">
        <v>0</v>
      </c>
      <c r="R169" s="9">
        <v>0</v>
      </c>
      <c r="S169" s="9">
        <f>MAX(0,MIN(Параметры!$C$26-M169,T168))</f>
        <v>931845.76751529938</v>
      </c>
      <c r="T169" s="9">
        <f t="shared" si="39"/>
        <v>12470757.887871891</v>
      </c>
      <c r="U169" s="9">
        <f t="shared" si="40"/>
        <v>1622267.6684884946</v>
      </c>
      <c r="V169" s="9">
        <f t="shared" si="41"/>
        <v>95684969.416163802</v>
      </c>
    </row>
    <row r="170" spans="1:22" x14ac:dyDescent="0.25">
      <c r="A170" s="11">
        <v>169</v>
      </c>
      <c r="B170" s="11" t="s">
        <v>231</v>
      </c>
      <c r="C170" s="12" t="s">
        <v>75</v>
      </c>
      <c r="D170" s="13">
        <f>Параметры!$C$4*Параметры!$C$7*(1+Параметры!$C$8)^INT((A170-Параметры!$C$11-1)/12)</f>
        <v>7963058.2702096505</v>
      </c>
      <c r="E170" s="13">
        <f>D170/(1+Параметры!$C$13)</f>
        <v>6527096.9427947961</v>
      </c>
      <c r="F170" s="13">
        <f t="shared" si="34"/>
        <v>1435961.3274148544</v>
      </c>
      <c r="G170" s="13">
        <f>IF(AND(A170&gt;Параметры!$C$11,A170&lt;=Параметры!$C$11+3),Параметры!$C$28,0)</f>
        <v>0</v>
      </c>
      <c r="H170" s="13">
        <f t="shared" si="35"/>
        <v>1435961.3274148544</v>
      </c>
      <c r="I170" s="13">
        <f>E170*Параметры!$C$16</f>
        <v>979064.54141921934</v>
      </c>
      <c r="J170" s="13">
        <f>Параметры!$C$27</f>
        <v>170765.02732240438</v>
      </c>
      <c r="K170" s="13">
        <f>MAX(0,Параметры!$C$20-Параметры!$C$27*MAX(0,A170-Параметры!$C$11-1))*Параметры!$C$15/12</f>
        <v>101434.42622950819</v>
      </c>
      <c r="L170" s="13">
        <f t="shared" si="36"/>
        <v>5275832.9478236642</v>
      </c>
      <c r="M170" s="13">
        <f>T169*Параметры!$C$10/12</f>
        <v>207845.96479786487</v>
      </c>
      <c r="N170" s="13">
        <f t="shared" si="37"/>
        <v>5067986.9830257995</v>
      </c>
      <c r="O170" s="13">
        <f>MAX(0,N170*Параметры!$C$14)</f>
        <v>1013597.39660516</v>
      </c>
      <c r="P170" s="13">
        <f t="shared" si="38"/>
        <v>4054389.5864206394</v>
      </c>
      <c r="Q170" s="13">
        <v>0</v>
      </c>
      <c r="R170" s="13">
        <v>0</v>
      </c>
      <c r="S170" s="13">
        <f>MAX(0,MIN(Параметры!$C$26-M170,T169))</f>
        <v>947376.53030722099</v>
      </c>
      <c r="T170" s="13">
        <f t="shared" si="39"/>
        <v>11523381.357564671</v>
      </c>
      <c r="U170" s="13">
        <f t="shared" si="40"/>
        <v>1841816.7560209678</v>
      </c>
      <c r="V170" s="13">
        <f t="shared" si="41"/>
        <v>97526786.172184765</v>
      </c>
    </row>
    <row r="171" spans="1:22" x14ac:dyDescent="0.25">
      <c r="A171" s="14">
        <v>170</v>
      </c>
      <c r="B171" s="14" t="s">
        <v>232</v>
      </c>
      <c r="C171" s="15" t="s">
        <v>75</v>
      </c>
      <c r="D171" s="9">
        <f>Параметры!$C$4*Параметры!$C$7*(1+Параметры!$C$8)^INT((A171-Параметры!$C$11-1)/12)</f>
        <v>7963058.2702096505</v>
      </c>
      <c r="E171" s="9">
        <f>D171/(1+Параметры!$C$13)</f>
        <v>6527096.9427947961</v>
      </c>
      <c r="F171" s="9">
        <f t="shared" si="34"/>
        <v>1435961.3274148544</v>
      </c>
      <c r="G171" s="9">
        <f>IF(AND(A171&gt;Параметры!$C$11,A171&lt;=Параметры!$C$11+3),Параметры!$C$28,0)</f>
        <v>0</v>
      </c>
      <c r="H171" s="9">
        <f t="shared" si="35"/>
        <v>1435961.3274148544</v>
      </c>
      <c r="I171" s="9">
        <f>E171*Параметры!$C$16</f>
        <v>979064.54141921934</v>
      </c>
      <c r="J171" s="9">
        <f>Параметры!$C$27</f>
        <v>170765.02732240438</v>
      </c>
      <c r="K171" s="9">
        <f>MAX(0,Параметры!$C$20-Параметры!$C$27*MAX(0,A171-Параметры!$C$11-1))*Параметры!$C$15/12</f>
        <v>101121.35701275045</v>
      </c>
      <c r="L171" s="9">
        <f t="shared" si="36"/>
        <v>5276146.0170404222</v>
      </c>
      <c r="M171" s="9">
        <f>T170*Параметры!$C$10/12</f>
        <v>192056.35595941122</v>
      </c>
      <c r="N171" s="9">
        <f t="shared" si="37"/>
        <v>5084089.6610810114</v>
      </c>
      <c r="O171" s="9">
        <f>MAX(0,N171*Параметры!$C$14)</f>
        <v>1016817.9322162024</v>
      </c>
      <c r="P171" s="9">
        <f t="shared" si="38"/>
        <v>4067271.728864809</v>
      </c>
      <c r="Q171" s="9">
        <v>0</v>
      </c>
      <c r="R171" s="9">
        <v>0</v>
      </c>
      <c r="S171" s="9">
        <f>MAX(0,MIN(Параметры!$C$26-M171,T170))</f>
        <v>963166.13914567465</v>
      </c>
      <c r="T171" s="9">
        <f t="shared" si="39"/>
        <v>10560215.218418997</v>
      </c>
      <c r="U171" s="9">
        <f t="shared" si="40"/>
        <v>1838909.2896266845</v>
      </c>
      <c r="V171" s="9">
        <f t="shared" si="41"/>
        <v>99365695.461811453</v>
      </c>
    </row>
    <row r="172" spans="1:22" x14ac:dyDescent="0.25">
      <c r="A172" s="11">
        <v>171</v>
      </c>
      <c r="B172" s="11" t="s">
        <v>233</v>
      </c>
      <c r="C172" s="12" t="s">
        <v>75</v>
      </c>
      <c r="D172" s="13">
        <f>Параметры!$C$4*Параметры!$C$7*(1+Параметры!$C$8)^INT((A172-Параметры!$C$11-1)/12)</f>
        <v>7963058.2702096505</v>
      </c>
      <c r="E172" s="13">
        <f>D172/(1+Параметры!$C$13)</f>
        <v>6527096.9427947961</v>
      </c>
      <c r="F172" s="13">
        <f t="shared" si="34"/>
        <v>1435961.3274148544</v>
      </c>
      <c r="G172" s="13">
        <f>IF(AND(A172&gt;Параметры!$C$11,A172&lt;=Параметры!$C$11+3),Параметры!$C$28,0)</f>
        <v>0</v>
      </c>
      <c r="H172" s="13">
        <f t="shared" si="35"/>
        <v>1435961.3274148544</v>
      </c>
      <c r="I172" s="13">
        <f>E172*Параметры!$C$16</f>
        <v>979064.54141921934</v>
      </c>
      <c r="J172" s="13">
        <f>Параметры!$C$27</f>
        <v>170765.02732240438</v>
      </c>
      <c r="K172" s="13">
        <f>MAX(0,Параметры!$C$20-Параметры!$C$27*MAX(0,A172-Параметры!$C$11-1))*Параметры!$C$15/12</f>
        <v>100808.2877959927</v>
      </c>
      <c r="L172" s="13">
        <f t="shared" si="36"/>
        <v>5276459.0862571802</v>
      </c>
      <c r="M172" s="13">
        <f>T171*Параметры!$C$10/12</f>
        <v>176003.58697364994</v>
      </c>
      <c r="N172" s="13">
        <f t="shared" si="37"/>
        <v>5100455.4992835298</v>
      </c>
      <c r="O172" s="13">
        <f>MAX(0,N172*Параметры!$C$14)</f>
        <v>1020091.099856706</v>
      </c>
      <c r="P172" s="13">
        <f t="shared" si="38"/>
        <v>4080364.3994268239</v>
      </c>
      <c r="Q172" s="13">
        <v>0</v>
      </c>
      <c r="R172" s="13">
        <v>0</v>
      </c>
      <c r="S172" s="13">
        <f>MAX(0,MIN(Параметры!$C$26-M172,T171))</f>
        <v>979218.90813143598</v>
      </c>
      <c r="T172" s="13">
        <f t="shared" si="39"/>
        <v>9580996.3102875613</v>
      </c>
      <c r="U172" s="13">
        <f t="shared" si="40"/>
        <v>1835949.1912029381</v>
      </c>
      <c r="V172" s="13">
        <f t="shared" si="41"/>
        <v>101201644.65301439</v>
      </c>
    </row>
    <row r="173" spans="1:22" x14ac:dyDescent="0.25">
      <c r="A173" s="14">
        <v>172</v>
      </c>
      <c r="B173" s="14" t="s">
        <v>234</v>
      </c>
      <c r="C173" s="15" t="s">
        <v>75</v>
      </c>
      <c r="D173" s="9">
        <f>Параметры!$C$4*Параметры!$C$7*(1+Параметры!$C$8)^INT((A173-Параметры!$C$11-1)/12)</f>
        <v>7963058.2702096505</v>
      </c>
      <c r="E173" s="9">
        <f>D173/(1+Параметры!$C$13)</f>
        <v>6527096.9427947961</v>
      </c>
      <c r="F173" s="9">
        <f t="shared" si="34"/>
        <v>1435961.3274148544</v>
      </c>
      <c r="G173" s="9">
        <f>IF(AND(A173&gt;Параметры!$C$11,A173&lt;=Параметры!$C$11+3),Параметры!$C$28,0)</f>
        <v>0</v>
      </c>
      <c r="H173" s="9">
        <f t="shared" si="35"/>
        <v>1435961.3274148544</v>
      </c>
      <c r="I173" s="9">
        <f>E173*Параметры!$C$16</f>
        <v>979064.54141921934</v>
      </c>
      <c r="J173" s="9">
        <f>Параметры!$C$27</f>
        <v>170765.02732240438</v>
      </c>
      <c r="K173" s="9">
        <f>MAX(0,Параметры!$C$20-Параметры!$C$27*MAX(0,A173-Параметры!$C$11-1))*Параметры!$C$15/12</f>
        <v>100495.21857923496</v>
      </c>
      <c r="L173" s="9">
        <f t="shared" si="36"/>
        <v>5276772.1554739382</v>
      </c>
      <c r="M173" s="9">
        <f>T172*Параметры!$C$10/12</f>
        <v>159683.27183812603</v>
      </c>
      <c r="N173" s="9">
        <f t="shared" si="37"/>
        <v>5117088.8836358124</v>
      </c>
      <c r="O173" s="9">
        <f>MAX(0,N173*Параметры!$C$14)</f>
        <v>1023417.7767271625</v>
      </c>
      <c r="P173" s="9">
        <f t="shared" si="38"/>
        <v>4093671.1069086501</v>
      </c>
      <c r="Q173" s="9">
        <v>0</v>
      </c>
      <c r="R173" s="9">
        <v>0</v>
      </c>
      <c r="S173" s="9">
        <f>MAX(0,MIN(Параметры!$C$26-M173,T172))</f>
        <v>995539.22326695989</v>
      </c>
      <c r="T173" s="9">
        <f t="shared" si="39"/>
        <v>8585457.0870206021</v>
      </c>
      <c r="U173" s="9">
        <f t="shared" si="40"/>
        <v>1832935.5835492397</v>
      </c>
      <c r="V173" s="9">
        <f t="shared" si="41"/>
        <v>103034580.23656364</v>
      </c>
    </row>
    <row r="174" spans="1:22" x14ac:dyDescent="0.25">
      <c r="A174" s="11">
        <v>173</v>
      </c>
      <c r="B174" s="11" t="s">
        <v>235</v>
      </c>
      <c r="C174" s="12" t="s">
        <v>75</v>
      </c>
      <c r="D174" s="13">
        <f>Параметры!$C$4*Параметры!$C$7*(1+Параметры!$C$8)^INT((A174-Параметры!$C$11-1)/12)</f>
        <v>7963058.2702096505</v>
      </c>
      <c r="E174" s="13">
        <f>D174/(1+Параметры!$C$13)</f>
        <v>6527096.9427947961</v>
      </c>
      <c r="F174" s="13">
        <f t="shared" ref="F174:F205" si="42">D174-E174</f>
        <v>1435961.3274148544</v>
      </c>
      <c r="G174" s="13">
        <f>IF(AND(A174&gt;Параметры!$C$11,A174&lt;=Параметры!$C$11+3),Параметры!$C$28,0)</f>
        <v>0</v>
      </c>
      <c r="H174" s="13">
        <f t="shared" ref="H174:H205" si="43">F174-G174</f>
        <v>1435961.3274148544</v>
      </c>
      <c r="I174" s="13">
        <f>E174*Параметры!$C$16</f>
        <v>979064.54141921934</v>
      </c>
      <c r="J174" s="13">
        <f>Параметры!$C$27</f>
        <v>170765.02732240438</v>
      </c>
      <c r="K174" s="13">
        <f>MAX(0,Параметры!$C$20-Параметры!$C$27*MAX(0,A174-Параметры!$C$11-1))*Параметры!$C$15/12</f>
        <v>100182.14936247723</v>
      </c>
      <c r="L174" s="13">
        <f t="shared" ref="L174:L205" si="44">E174-I174-J174-K174</f>
        <v>5277085.2246906953</v>
      </c>
      <c r="M174" s="13">
        <f>T173*Параметры!$C$10/12</f>
        <v>143090.95145034339</v>
      </c>
      <c r="N174" s="13">
        <f t="shared" ref="N174:N205" si="45">L174-M174</f>
        <v>5133994.273240352</v>
      </c>
      <c r="O174" s="13">
        <f>MAX(0,N174*Параметры!$C$14)</f>
        <v>1026798.8546480704</v>
      </c>
      <c r="P174" s="13">
        <f t="shared" ref="P174:P205" si="46">N174-O174</f>
        <v>4107195.4185922816</v>
      </c>
      <c r="Q174" s="13">
        <v>0</v>
      </c>
      <c r="R174" s="13">
        <v>0</v>
      </c>
      <c r="S174" s="13">
        <f>MAX(0,MIN(Параметры!$C$26-M174,T173))</f>
        <v>1012131.5436547425</v>
      </c>
      <c r="T174" s="13">
        <f t="shared" ref="T174:T205" si="47">MAX(0,T173-S174)</f>
        <v>7573325.5433658594</v>
      </c>
      <c r="U174" s="13">
        <f t="shared" ref="U174:U181" si="48">P174+J174-S174-H174</f>
        <v>1829867.5748450886</v>
      </c>
      <c r="V174" s="13">
        <f t="shared" si="41"/>
        <v>104864447.81140873</v>
      </c>
    </row>
    <row r="175" spans="1:22" x14ac:dyDescent="0.25">
      <c r="A175" s="14">
        <v>174</v>
      </c>
      <c r="B175" s="14" t="s">
        <v>236</v>
      </c>
      <c r="C175" s="15" t="s">
        <v>75</v>
      </c>
      <c r="D175" s="9">
        <f>Параметры!$C$4*Параметры!$C$7*(1+Параметры!$C$8)^INT((A175-Параметры!$C$11-1)/12)</f>
        <v>7963058.2702096505</v>
      </c>
      <c r="E175" s="9">
        <f>D175/(1+Параметры!$C$13)</f>
        <v>6527096.9427947961</v>
      </c>
      <c r="F175" s="9">
        <f t="shared" si="42"/>
        <v>1435961.3274148544</v>
      </c>
      <c r="G175" s="9">
        <f>IF(AND(A175&gt;Параметры!$C$11,A175&lt;=Параметры!$C$11+3),Параметры!$C$28,0)</f>
        <v>0</v>
      </c>
      <c r="H175" s="9">
        <f t="shared" si="43"/>
        <v>1435961.3274148544</v>
      </c>
      <c r="I175" s="9">
        <f>E175*Параметры!$C$16</f>
        <v>979064.54141921934</v>
      </c>
      <c r="J175" s="9">
        <f>Параметры!$C$27</f>
        <v>170765.02732240438</v>
      </c>
      <c r="K175" s="9">
        <f>MAX(0,Параметры!$C$20-Параметры!$C$27*MAX(0,A175-Параметры!$C$11-1))*Параметры!$C$15/12</f>
        <v>99869.080145719461</v>
      </c>
      <c r="L175" s="9">
        <f t="shared" si="44"/>
        <v>5277398.2939074533</v>
      </c>
      <c r="M175" s="9">
        <f>T174*Параметры!$C$10/12</f>
        <v>126222.09238943101</v>
      </c>
      <c r="N175" s="9">
        <f t="shared" si="45"/>
        <v>5151176.2015180225</v>
      </c>
      <c r="O175" s="9">
        <f>MAX(0,N175*Параметры!$C$14)</f>
        <v>1030235.2403036045</v>
      </c>
      <c r="P175" s="9">
        <f t="shared" si="46"/>
        <v>4120940.9612144181</v>
      </c>
      <c r="Q175" s="9">
        <v>0</v>
      </c>
      <c r="R175" s="9">
        <v>0</v>
      </c>
      <c r="S175" s="9">
        <f>MAX(0,MIN(Параметры!$C$26-M175,T174))</f>
        <v>1029000.4027156549</v>
      </c>
      <c r="T175" s="9">
        <f t="shared" si="47"/>
        <v>6544325.1406502044</v>
      </c>
      <c r="U175" s="9">
        <f t="shared" si="48"/>
        <v>1826744.2584063131</v>
      </c>
      <c r="V175" s="9">
        <f t="shared" si="41"/>
        <v>106691192.06981504</v>
      </c>
    </row>
    <row r="176" spans="1:22" x14ac:dyDescent="0.25">
      <c r="A176" s="11">
        <v>175</v>
      </c>
      <c r="B176" s="11" t="s">
        <v>237</v>
      </c>
      <c r="C176" s="12" t="s">
        <v>75</v>
      </c>
      <c r="D176" s="13">
        <f>Параметры!$C$4*Параметры!$C$7*(1+Параметры!$C$8)^INT((A176-Параметры!$C$11-1)/12)</f>
        <v>7963058.2702096505</v>
      </c>
      <c r="E176" s="13">
        <f>D176/(1+Параметры!$C$13)</f>
        <v>6527096.9427947961</v>
      </c>
      <c r="F176" s="13">
        <f t="shared" si="42"/>
        <v>1435961.3274148544</v>
      </c>
      <c r="G176" s="13">
        <f>IF(AND(A176&gt;Параметры!$C$11,A176&lt;=Параметры!$C$11+3),Параметры!$C$28,0)</f>
        <v>0</v>
      </c>
      <c r="H176" s="13">
        <f t="shared" si="43"/>
        <v>1435961.3274148544</v>
      </c>
      <c r="I176" s="13">
        <f>E176*Параметры!$C$16</f>
        <v>979064.54141921934</v>
      </c>
      <c r="J176" s="13">
        <f>Параметры!$C$27</f>
        <v>170765.02732240438</v>
      </c>
      <c r="K176" s="13">
        <f>MAX(0,Параметры!$C$20-Параметры!$C$27*MAX(0,A176-Параметры!$C$11-1))*Параметры!$C$15/12</f>
        <v>99556.010928961739</v>
      </c>
      <c r="L176" s="13">
        <f t="shared" si="44"/>
        <v>5277711.3631242113</v>
      </c>
      <c r="M176" s="13">
        <f>T175*Параметры!$C$10/12</f>
        <v>109072.08567750342</v>
      </c>
      <c r="N176" s="13">
        <f t="shared" si="45"/>
        <v>5168639.2774467077</v>
      </c>
      <c r="O176" s="13">
        <f>MAX(0,N176*Параметры!$C$14)</f>
        <v>1033727.8554893415</v>
      </c>
      <c r="P176" s="13">
        <f t="shared" si="46"/>
        <v>4134911.4219573662</v>
      </c>
      <c r="Q176" s="13">
        <v>0</v>
      </c>
      <c r="R176" s="13">
        <v>0</v>
      </c>
      <c r="S176" s="13">
        <f>MAX(0,MIN(Параметры!$C$26-M176,T175))</f>
        <v>1046150.4094275825</v>
      </c>
      <c r="T176" s="13">
        <f t="shared" si="47"/>
        <v>5498174.7312226221</v>
      </c>
      <c r="U176" s="13">
        <f t="shared" si="48"/>
        <v>1823564.7124373335</v>
      </c>
      <c r="V176" s="13">
        <f t="shared" si="41"/>
        <v>108514756.78225237</v>
      </c>
    </row>
    <row r="177" spans="1:22" x14ac:dyDescent="0.25">
      <c r="A177" s="14">
        <v>176</v>
      </c>
      <c r="B177" s="14" t="s">
        <v>238</v>
      </c>
      <c r="C177" s="15" t="s">
        <v>75</v>
      </c>
      <c r="D177" s="9">
        <f>Параметры!$C$4*Параметры!$C$7*(1+Параметры!$C$8)^INT((A177-Параметры!$C$11-1)/12)</f>
        <v>7963058.2702096505</v>
      </c>
      <c r="E177" s="9">
        <f>D177/(1+Параметры!$C$13)</f>
        <v>6527096.9427947961</v>
      </c>
      <c r="F177" s="9">
        <f t="shared" si="42"/>
        <v>1435961.3274148544</v>
      </c>
      <c r="G177" s="9">
        <f>IF(AND(A177&gt;Параметры!$C$11,A177&lt;=Параметры!$C$11+3),Параметры!$C$28,0)</f>
        <v>0</v>
      </c>
      <c r="H177" s="9">
        <f t="shared" si="43"/>
        <v>1435961.3274148544</v>
      </c>
      <c r="I177" s="9">
        <f>E177*Параметры!$C$16</f>
        <v>979064.54141921934</v>
      </c>
      <c r="J177" s="9">
        <f>Параметры!$C$27</f>
        <v>170765.02732240438</v>
      </c>
      <c r="K177" s="9">
        <f>MAX(0,Параметры!$C$20-Параметры!$C$27*MAX(0,A177-Параметры!$C$11-1))*Параметры!$C$15/12</f>
        <v>99242.941712203974</v>
      </c>
      <c r="L177" s="9">
        <f t="shared" si="44"/>
        <v>5278024.4323409684</v>
      </c>
      <c r="M177" s="9">
        <f>T176*Параметры!$C$10/12</f>
        <v>91636.245520377051</v>
      </c>
      <c r="N177" s="9">
        <f t="shared" si="45"/>
        <v>5186388.1868205918</v>
      </c>
      <c r="O177" s="9">
        <f>MAX(0,N177*Параметры!$C$14)</f>
        <v>1037277.6373641184</v>
      </c>
      <c r="P177" s="9">
        <f t="shared" si="46"/>
        <v>4149110.5494564734</v>
      </c>
      <c r="Q177" s="9">
        <v>0</v>
      </c>
      <c r="R177" s="9">
        <v>0</v>
      </c>
      <c r="S177" s="9">
        <f>MAX(0,MIN(Параметры!$C$26-M177,T176))</f>
        <v>1063586.2495847088</v>
      </c>
      <c r="T177" s="9">
        <f t="shared" si="47"/>
        <v>4434588.4816379137</v>
      </c>
      <c r="U177" s="9">
        <f t="shared" si="48"/>
        <v>1820327.9997793143</v>
      </c>
      <c r="V177" s="9">
        <f t="shared" si="41"/>
        <v>110335084.78203169</v>
      </c>
    </row>
    <row r="178" spans="1:22" x14ac:dyDescent="0.25">
      <c r="A178" s="11">
        <v>177</v>
      </c>
      <c r="B178" s="11" t="s">
        <v>239</v>
      </c>
      <c r="C178" s="12" t="s">
        <v>75</v>
      </c>
      <c r="D178" s="13">
        <f>Параметры!$C$4*Параметры!$C$7*(1+Параметры!$C$8)^INT((A178-Параметры!$C$11-1)/12)</f>
        <v>7963058.2702096505</v>
      </c>
      <c r="E178" s="13">
        <f>D178/(1+Параметры!$C$13)</f>
        <v>6527096.9427947961</v>
      </c>
      <c r="F178" s="13">
        <f t="shared" si="42"/>
        <v>1435961.3274148544</v>
      </c>
      <c r="G178" s="13">
        <f>IF(AND(A178&gt;Параметры!$C$11,A178&lt;=Параметры!$C$11+3),Параметры!$C$28,0)</f>
        <v>0</v>
      </c>
      <c r="H178" s="13">
        <f t="shared" si="43"/>
        <v>1435961.3274148544</v>
      </c>
      <c r="I178" s="13">
        <f>E178*Параметры!$C$16</f>
        <v>979064.54141921934</v>
      </c>
      <c r="J178" s="13">
        <f>Параметры!$C$27</f>
        <v>170765.02732240438</v>
      </c>
      <c r="K178" s="13">
        <f>MAX(0,Параметры!$C$20-Параметры!$C$27*MAX(0,A178-Параметры!$C$11-1))*Параметры!$C$15/12</f>
        <v>98929.872495446252</v>
      </c>
      <c r="L178" s="13">
        <f t="shared" si="44"/>
        <v>5278337.5015577264</v>
      </c>
      <c r="M178" s="13">
        <f>T177*Параметры!$C$10/12</f>
        <v>73909.808027298568</v>
      </c>
      <c r="N178" s="13">
        <f t="shared" si="45"/>
        <v>5204427.6935304282</v>
      </c>
      <c r="O178" s="13">
        <f>MAX(0,N178*Параметры!$C$14)</f>
        <v>1040885.5387060856</v>
      </c>
      <c r="P178" s="13">
        <f t="shared" si="46"/>
        <v>4163542.1548243426</v>
      </c>
      <c r="Q178" s="13">
        <v>0</v>
      </c>
      <c r="R178" s="13">
        <v>0</v>
      </c>
      <c r="S178" s="13">
        <f>MAX(0,MIN(Параметры!$C$26-M178,T177))</f>
        <v>1081312.6870777872</v>
      </c>
      <c r="T178" s="13">
        <f t="shared" si="47"/>
        <v>3353275.7945601265</v>
      </c>
      <c r="U178" s="13">
        <f t="shared" si="48"/>
        <v>1817033.167654105</v>
      </c>
      <c r="V178" s="13">
        <f t="shared" si="41"/>
        <v>112152117.9496858</v>
      </c>
    </row>
    <row r="179" spans="1:22" x14ac:dyDescent="0.25">
      <c r="A179" s="14">
        <v>178</v>
      </c>
      <c r="B179" s="14" t="s">
        <v>240</v>
      </c>
      <c r="C179" s="15" t="s">
        <v>75</v>
      </c>
      <c r="D179" s="9">
        <f>Параметры!$C$4*Параметры!$C$7*(1+Параметры!$C$8)^INT((A179-Параметры!$C$11-1)/12)</f>
        <v>7963058.2702096505</v>
      </c>
      <c r="E179" s="9">
        <f>D179/(1+Параметры!$C$13)</f>
        <v>6527096.9427947961</v>
      </c>
      <c r="F179" s="9">
        <f t="shared" si="42"/>
        <v>1435961.3274148544</v>
      </c>
      <c r="G179" s="9">
        <f>IF(AND(A179&gt;Параметры!$C$11,A179&lt;=Параметры!$C$11+3),Параметры!$C$28,0)</f>
        <v>0</v>
      </c>
      <c r="H179" s="9">
        <f t="shared" si="43"/>
        <v>1435961.3274148544</v>
      </c>
      <c r="I179" s="9">
        <f>E179*Параметры!$C$16</f>
        <v>979064.54141921934</v>
      </c>
      <c r="J179" s="9">
        <f>Параметры!$C$27</f>
        <v>170765.02732240438</v>
      </c>
      <c r="K179" s="9">
        <f>MAX(0,Параметры!$C$20-Параметры!$C$27*MAX(0,A179-Параметры!$C$11-1))*Параметры!$C$15/12</f>
        <v>98616.803278688501</v>
      </c>
      <c r="L179" s="9">
        <f t="shared" si="44"/>
        <v>5278650.5707744844</v>
      </c>
      <c r="M179" s="9">
        <f>T178*Параметры!$C$10/12</f>
        <v>55887.929909335449</v>
      </c>
      <c r="N179" s="9">
        <f t="shared" si="45"/>
        <v>5222762.640865149</v>
      </c>
      <c r="O179" s="9">
        <f>MAX(0,N179*Параметры!$C$14)</f>
        <v>1044552.5281730299</v>
      </c>
      <c r="P179" s="9">
        <f t="shared" si="46"/>
        <v>4178210.1126921191</v>
      </c>
      <c r="Q179" s="9">
        <v>0</v>
      </c>
      <c r="R179" s="9">
        <v>0</v>
      </c>
      <c r="S179" s="9">
        <f>MAX(0,MIN(Параметры!$C$26-M179,T178))</f>
        <v>1099334.5651957504</v>
      </c>
      <c r="T179" s="9">
        <f t="shared" si="47"/>
        <v>2253941.229364376</v>
      </c>
      <c r="U179" s="9">
        <f t="shared" si="48"/>
        <v>1813679.2474039188</v>
      </c>
      <c r="V179" s="9">
        <f t="shared" si="41"/>
        <v>113965797.19708972</v>
      </c>
    </row>
    <row r="180" spans="1:22" x14ac:dyDescent="0.25">
      <c r="A180" s="11">
        <v>179</v>
      </c>
      <c r="B180" s="11" t="s">
        <v>241</v>
      </c>
      <c r="C180" s="12" t="s">
        <v>75</v>
      </c>
      <c r="D180" s="13">
        <f>Параметры!$C$4*Параметры!$C$7*(1+Параметры!$C$8)^INT((A180-Параметры!$C$11-1)/12)</f>
        <v>7963058.2702096505</v>
      </c>
      <c r="E180" s="13">
        <f>D180/(1+Параметры!$C$13)</f>
        <v>6527096.9427947961</v>
      </c>
      <c r="F180" s="13">
        <f t="shared" si="42"/>
        <v>1435961.3274148544</v>
      </c>
      <c r="G180" s="13">
        <f>IF(AND(A180&gt;Параметры!$C$11,A180&lt;=Параметры!$C$11+3),Параметры!$C$28,0)</f>
        <v>0</v>
      </c>
      <c r="H180" s="13">
        <f t="shared" si="43"/>
        <v>1435961.3274148544</v>
      </c>
      <c r="I180" s="13">
        <f>E180*Параметры!$C$16</f>
        <v>979064.54141921934</v>
      </c>
      <c r="J180" s="13">
        <f>Параметры!$C$27</f>
        <v>170765.02732240438</v>
      </c>
      <c r="K180" s="13">
        <f>MAX(0,Параметры!$C$20-Параметры!$C$27*MAX(0,A180-Параметры!$C$11-1))*Параметры!$C$15/12</f>
        <v>98303.73406193078</v>
      </c>
      <c r="L180" s="13">
        <f t="shared" si="44"/>
        <v>5278963.6399912424</v>
      </c>
      <c r="M180" s="13">
        <f>T179*Параметры!$C$10/12</f>
        <v>37565.687156072934</v>
      </c>
      <c r="N180" s="13">
        <f t="shared" si="45"/>
        <v>5241397.9528351696</v>
      </c>
      <c r="O180" s="13">
        <f>MAX(0,N180*Параметры!$C$14)</f>
        <v>1048279.590567034</v>
      </c>
      <c r="P180" s="13">
        <f t="shared" si="46"/>
        <v>4193118.3622681359</v>
      </c>
      <c r="Q180" s="13">
        <v>0</v>
      </c>
      <c r="R180" s="13">
        <v>0</v>
      </c>
      <c r="S180" s="13">
        <f>MAX(0,MIN(Параметры!$C$26-M180,T179))</f>
        <v>1117656.8079490131</v>
      </c>
      <c r="T180" s="13">
        <f t="shared" si="47"/>
        <v>1136284.421415363</v>
      </c>
      <c r="U180" s="13">
        <f t="shared" si="48"/>
        <v>1810265.2542266725</v>
      </c>
      <c r="V180" s="13">
        <f t="shared" si="41"/>
        <v>115776062.45131639</v>
      </c>
    </row>
    <row r="181" spans="1:22" x14ac:dyDescent="0.25">
      <c r="A181" s="14">
        <v>180</v>
      </c>
      <c r="B181" s="14" t="s">
        <v>242</v>
      </c>
      <c r="C181" s="15" t="s">
        <v>75</v>
      </c>
      <c r="D181" s="9">
        <f>Параметры!$C$4*Параметры!$C$7*(1+Параметры!$C$8)^INT((A181-Параметры!$C$11-1)/12)</f>
        <v>7963058.2702096505</v>
      </c>
      <c r="E181" s="9">
        <f>D181/(1+Параметры!$C$13)</f>
        <v>6527096.9427947961</v>
      </c>
      <c r="F181" s="9">
        <f t="shared" si="42"/>
        <v>1435961.3274148544</v>
      </c>
      <c r="G181" s="9">
        <f>IF(AND(A181&gt;Параметры!$C$11,A181&lt;=Параметры!$C$11+3),Параметры!$C$28,0)</f>
        <v>0</v>
      </c>
      <c r="H181" s="9">
        <f t="shared" si="43"/>
        <v>1435961.3274148544</v>
      </c>
      <c r="I181" s="9">
        <f>E181*Параметры!$C$16</f>
        <v>979064.54141921934</v>
      </c>
      <c r="J181" s="9">
        <f>Параметры!$C$27</f>
        <v>170765.02732240438</v>
      </c>
      <c r="K181" s="9">
        <f>MAX(0,Параметры!$C$20-Параметры!$C$27*MAX(0,A181-Параметры!$C$11-1))*Параметры!$C$15/12</f>
        <v>97990.664845173014</v>
      </c>
      <c r="L181" s="9">
        <f t="shared" si="44"/>
        <v>5279276.7092079995</v>
      </c>
      <c r="M181" s="9">
        <f>T180*Параметры!$C$10/12</f>
        <v>18938.073690256049</v>
      </c>
      <c r="N181" s="9">
        <f t="shared" si="45"/>
        <v>5260338.6355177434</v>
      </c>
      <c r="O181" s="9">
        <f>MAX(0,N181*Параметры!$C$14)</f>
        <v>1052067.7271035488</v>
      </c>
      <c r="P181" s="9">
        <f t="shared" si="46"/>
        <v>4208270.9084141944</v>
      </c>
      <c r="Q181" s="9">
        <v>0</v>
      </c>
      <c r="R181" s="9">
        <v>0</v>
      </c>
      <c r="S181" s="9">
        <f>MAX(0,MIN(Параметры!$C$26-M181,T180))</f>
        <v>1136284.4214148298</v>
      </c>
      <c r="T181" s="9">
        <f t="shared" si="47"/>
        <v>5.3318217396736145E-7</v>
      </c>
      <c r="U181" s="9">
        <f t="shared" si="48"/>
        <v>1806790.1869069142</v>
      </c>
      <c r="V181" s="9">
        <f t="shared" si="41"/>
        <v>117582852.63822331</v>
      </c>
    </row>
    <row r="182" spans="1:22" x14ac:dyDescent="0.25">
      <c r="A182" s="16" t="s">
        <v>243</v>
      </c>
      <c r="C182" s="17">
        <f t="shared" ref="C182:V182" si="49">SUM(C2:C181)</f>
        <v>0</v>
      </c>
      <c r="D182" s="17">
        <f t="shared" si="49"/>
        <v>850815439.77396417</v>
      </c>
      <c r="E182" s="17">
        <f t="shared" si="49"/>
        <v>697389704.73275721</v>
      </c>
      <c r="F182" s="17">
        <f t="shared" si="49"/>
        <v>153425735.04120606</v>
      </c>
      <c r="G182" s="17">
        <f t="shared" si="49"/>
        <v>18032786.885245904</v>
      </c>
      <c r="H182" s="17">
        <f t="shared" si="49"/>
        <v>135392948.1559605</v>
      </c>
      <c r="I182" s="17">
        <f t="shared" si="49"/>
        <v>104608455.70991357</v>
      </c>
      <c r="J182" s="17">
        <f t="shared" si="49"/>
        <v>28688524.590163898</v>
      </c>
      <c r="K182" s="17">
        <f t="shared" si="49"/>
        <v>20854166.666666668</v>
      </c>
      <c r="L182" s="17">
        <f t="shared" si="49"/>
        <v>543238557.76601279</v>
      </c>
      <c r="M182" s="17">
        <f t="shared" si="49"/>
        <v>136119045.8443217</v>
      </c>
      <c r="N182" s="17">
        <f t="shared" si="49"/>
        <v>407119511.92169052</v>
      </c>
      <c r="O182" s="17">
        <f t="shared" si="49"/>
        <v>82832235.717671499</v>
      </c>
      <c r="P182" s="17">
        <f t="shared" si="49"/>
        <v>331328942.87068599</v>
      </c>
      <c r="Q182" s="17">
        <f t="shared" si="49"/>
        <v>99999999.999999985</v>
      </c>
      <c r="R182" s="17">
        <f t="shared" si="49"/>
        <v>64999999.999999993</v>
      </c>
      <c r="S182" s="17">
        <f t="shared" si="49"/>
        <v>64999999.999999508</v>
      </c>
      <c r="T182" s="17">
        <f t="shared" si="49"/>
        <v>8102142750.6592989</v>
      </c>
      <c r="U182" s="17">
        <f t="shared" si="49"/>
        <v>117582852.63822331</v>
      </c>
      <c r="V182" s="17">
        <f t="shared" si="49"/>
        <v>3280830831.0146055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C9" sqref="C9"/>
    </sheetView>
  </sheetViews>
  <sheetFormatPr defaultRowHeight="15" x14ac:dyDescent="0.25"/>
  <cols>
    <col min="1" max="1" width="44" customWidth="1"/>
    <col min="2" max="2" width="22" customWidth="1"/>
    <col min="3" max="3" width="20" customWidth="1"/>
  </cols>
  <sheetData>
    <row r="1" spans="1:3" ht="24" customHeight="1" x14ac:dyDescent="0.25">
      <c r="A1" s="30" t="s">
        <v>244</v>
      </c>
      <c r="B1" s="31"/>
      <c r="C1" s="31"/>
    </row>
    <row r="2" spans="1:3" x14ac:dyDescent="0.25">
      <c r="A2" s="8" t="s">
        <v>245</v>
      </c>
      <c r="C2" s="18" t="str">
        <f>Параметры!$C$2</f>
        <v>Sklad_Zlatoust</v>
      </c>
    </row>
    <row r="3" spans="1:3" x14ac:dyDescent="0.25">
      <c r="A3" s="8" t="s">
        <v>246</v>
      </c>
      <c r="C3" s="18" t="str">
        <f>Параметры!$C$3</f>
        <v>01.06.2026</v>
      </c>
    </row>
    <row r="4" spans="1:3" x14ac:dyDescent="0.25">
      <c r="A4" s="8" t="s">
        <v>18</v>
      </c>
      <c r="C4" s="18" t="str">
        <f>Параметры!$C$12&amp;" мес."</f>
        <v>180 мес.</v>
      </c>
    </row>
    <row r="5" spans="1:3" x14ac:dyDescent="0.25">
      <c r="A5" s="30" t="s">
        <v>247</v>
      </c>
      <c r="B5" s="31"/>
      <c r="C5" s="31"/>
    </row>
    <row r="6" spans="1:3" x14ac:dyDescent="0.25">
      <c r="A6" s="19" t="s">
        <v>248</v>
      </c>
      <c r="B6" s="20" t="s">
        <v>9</v>
      </c>
      <c r="C6" s="21">
        <f>NPV(Параметры!$C$9/12,'Денежные потоки'!U2:U181)</f>
        <v>11126181.676197298</v>
      </c>
    </row>
    <row r="7" spans="1:3" x14ac:dyDescent="0.25">
      <c r="A7" s="19" t="s">
        <v>249</v>
      </c>
      <c r="B7" s="20" t="s">
        <v>250</v>
      </c>
      <c r="C7" s="22">
        <f>IFERROR((1+IRR('Денежные потоки'!U2:U181))^12-1,"Н/Д")</f>
        <v>0.20966907279485003</v>
      </c>
    </row>
    <row r="8" spans="1:3" x14ac:dyDescent="0.25">
      <c r="A8" s="19" t="s">
        <v>251</v>
      </c>
      <c r="B8" s="20" t="s">
        <v>250</v>
      </c>
      <c r="C8" s="22">
        <f>IFERROR(SUM('Денежные потоки'!P2:P181)/Параметры!$C$23,"Н/Д")</f>
        <v>9.4665412248767424</v>
      </c>
    </row>
    <row r="9" spans="1:3" x14ac:dyDescent="0.25">
      <c r="A9" s="19" t="s">
        <v>252</v>
      </c>
      <c r="B9" s="20" t="s">
        <v>17</v>
      </c>
      <c r="C9" s="23" cm="1">
        <f t="array" ref="C9">MATCH(TRUE,'Денежные потоки'!V2:V181&gt;=0,0)</f>
        <v>86</v>
      </c>
    </row>
    <row r="10" spans="1:3" x14ac:dyDescent="0.25">
      <c r="A10" s="19" t="s">
        <v>253</v>
      </c>
      <c r="B10" s="20" t="s">
        <v>250</v>
      </c>
      <c r="C10" s="22">
        <f>Параметры!$C$9</f>
        <v>0.14499999999999999</v>
      </c>
    </row>
    <row r="11" spans="1:3" x14ac:dyDescent="0.25">
      <c r="A11" s="30" t="s">
        <v>254</v>
      </c>
      <c r="B11" s="31"/>
      <c r="C11" s="31"/>
    </row>
    <row r="12" spans="1:3" x14ac:dyDescent="0.25">
      <c r="A12" s="15" t="s">
        <v>255</v>
      </c>
      <c r="B12" s="15" t="s">
        <v>9</v>
      </c>
      <c r="C12" s="9">
        <f>SUM('Денежные потоки'!D2:D181)</f>
        <v>850815439.77396417</v>
      </c>
    </row>
    <row r="13" spans="1:3" x14ac:dyDescent="0.25">
      <c r="A13" s="15" t="s">
        <v>256</v>
      </c>
      <c r="B13" s="15" t="s">
        <v>9</v>
      </c>
      <c r="C13" s="9">
        <f>SUM('Денежные потоки'!E2:E181)</f>
        <v>697389704.73275721</v>
      </c>
    </row>
    <row r="14" spans="1:3" x14ac:dyDescent="0.25">
      <c r="A14" s="15" t="s">
        <v>23</v>
      </c>
      <c r="B14" s="15" t="s">
        <v>9</v>
      </c>
      <c r="C14" s="9">
        <f>SUM('Денежные потоки'!I2:I181)</f>
        <v>104608455.70991357</v>
      </c>
    </row>
    <row r="15" spans="1:3" x14ac:dyDescent="0.25">
      <c r="A15" s="15" t="s">
        <v>257</v>
      </c>
      <c r="B15" s="15" t="s">
        <v>9</v>
      </c>
      <c r="C15" s="9">
        <f>SUM('Денежные потоки'!P2:P181)</f>
        <v>331328942.87068599</v>
      </c>
    </row>
    <row r="16" spans="1:3" x14ac:dyDescent="0.25">
      <c r="A16" s="30" t="s">
        <v>258</v>
      </c>
      <c r="B16" s="31"/>
      <c r="C16" s="31"/>
    </row>
    <row r="17" spans="1:3" x14ac:dyDescent="0.25">
      <c r="A17" s="15" t="s">
        <v>53</v>
      </c>
      <c r="B17" s="15" t="s">
        <v>9</v>
      </c>
      <c r="C17" s="9">
        <f>SUM('Денежные потоки'!O2:O181)</f>
        <v>82832235.717671499</v>
      </c>
    </row>
    <row r="18" spans="1:3" x14ac:dyDescent="0.25">
      <c r="A18" s="15" t="s">
        <v>259</v>
      </c>
      <c r="B18" s="15" t="s">
        <v>9</v>
      </c>
      <c r="C18" s="9">
        <f>SUMIF('Денежные потоки'!H2:H181,"&gt;0",'Денежные потоки'!H2:H181)</f>
        <v>151841735.04120609</v>
      </c>
    </row>
    <row r="19" spans="1:3" x14ac:dyDescent="0.25">
      <c r="A19" s="15" t="s">
        <v>260</v>
      </c>
      <c r="B19" s="15" t="s">
        <v>9</v>
      </c>
      <c r="C19" s="9">
        <f>SUM('Денежные потоки'!G2:G181)</f>
        <v>18032786.885245904</v>
      </c>
    </row>
    <row r="20" spans="1:3" x14ac:dyDescent="0.25">
      <c r="A20" s="15" t="s">
        <v>261</v>
      </c>
      <c r="B20" s="15" t="s">
        <v>9</v>
      </c>
      <c r="C20" s="9">
        <f>SUM('Денежные потоки'!K2:K181)</f>
        <v>20854166.666666668</v>
      </c>
    </row>
    <row r="21" spans="1:3" x14ac:dyDescent="0.25">
      <c r="A21" s="15" t="s">
        <v>262</v>
      </c>
      <c r="B21" s="15" t="s">
        <v>9</v>
      </c>
      <c r="C21" s="9">
        <f>SUM('Денежные потоки'!M2:M181)</f>
        <v>136119045.8443217</v>
      </c>
    </row>
    <row r="22" spans="1:3" x14ac:dyDescent="0.25">
      <c r="A22" s="30" t="s">
        <v>263</v>
      </c>
      <c r="B22" s="31"/>
      <c r="C22" s="31"/>
    </row>
    <row r="23" spans="1:3" x14ac:dyDescent="0.25">
      <c r="A23" s="15" t="s">
        <v>32</v>
      </c>
      <c r="B23" s="15" t="s">
        <v>9</v>
      </c>
      <c r="C23" s="9">
        <f>Параметры!$C$23</f>
        <v>35000000</v>
      </c>
    </row>
    <row r="24" spans="1:3" x14ac:dyDescent="0.25">
      <c r="A24" s="15" t="s">
        <v>264</v>
      </c>
      <c r="B24" s="15" t="s">
        <v>9</v>
      </c>
      <c r="C24" s="9">
        <f>Параметры!$C$22</f>
        <v>65000000</v>
      </c>
    </row>
    <row r="25" spans="1:3" x14ac:dyDescent="0.25">
      <c r="A25" s="15" t="s">
        <v>265</v>
      </c>
      <c r="B25" s="15" t="s">
        <v>9</v>
      </c>
      <c r="C25" s="9">
        <f>Параметры!$C$5</f>
        <v>100000000</v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B24" sqref="B24"/>
    </sheetView>
  </sheetViews>
  <sheetFormatPr defaultRowHeight="15" x14ac:dyDescent="0.25"/>
  <cols>
    <col min="1" max="1" width="38" customWidth="1"/>
    <col min="2" max="2" width="22" customWidth="1"/>
    <col min="3" max="3" width="18" customWidth="1"/>
    <col min="4" max="4" width="22" customWidth="1"/>
    <col min="5" max="5" width="38" customWidth="1"/>
  </cols>
  <sheetData>
    <row r="1" spans="1:5" ht="26.1" customHeight="1" x14ac:dyDescent="0.25">
      <c r="A1" s="30" t="s">
        <v>266</v>
      </c>
      <c r="B1" s="31"/>
      <c r="C1" s="31"/>
      <c r="D1" s="31"/>
      <c r="E1" s="31"/>
    </row>
    <row r="3" spans="1:5" x14ac:dyDescent="0.25">
      <c r="A3" s="24" t="s">
        <v>267</v>
      </c>
      <c r="B3" s="24" t="s">
        <v>268</v>
      </c>
      <c r="C3" s="24" t="s">
        <v>269</v>
      </c>
      <c r="D3" s="24" t="s">
        <v>270</v>
      </c>
      <c r="E3" s="24" t="s">
        <v>271</v>
      </c>
    </row>
    <row r="4" spans="1:5" x14ac:dyDescent="0.25">
      <c r="A4" s="15" t="s">
        <v>272</v>
      </c>
      <c r="B4" s="9">
        <f>Параметры!$C$5*1.2</f>
        <v>120000000</v>
      </c>
      <c r="C4" s="25">
        <f>Параметры!$C$5</f>
        <v>100000000</v>
      </c>
      <c r="D4" s="9">
        <f>Параметры!$C$5*0.8</f>
        <v>80000000</v>
      </c>
      <c r="E4" s="26" t="s">
        <v>273</v>
      </c>
    </row>
    <row r="5" spans="1:5" x14ac:dyDescent="0.25">
      <c r="A5" s="15" t="s">
        <v>274</v>
      </c>
      <c r="B5" s="9">
        <f>Параметры!$C$7*0.8</f>
        <v>1171.2</v>
      </c>
      <c r="C5" s="25">
        <f>Параметры!$C$7</f>
        <v>1464</v>
      </c>
      <c r="D5" s="9">
        <f>Параметры!$C$7*1.2</f>
        <v>1756.8</v>
      </c>
      <c r="E5" s="26" t="s">
        <v>275</v>
      </c>
    </row>
    <row r="6" spans="1:5" x14ac:dyDescent="0.25">
      <c r="A6" s="15" t="s">
        <v>15</v>
      </c>
      <c r="B6" s="27">
        <f>Параметры!$C$10*1.2</f>
        <v>0.24</v>
      </c>
      <c r="C6" s="28">
        <f>Параметры!$C$10</f>
        <v>0.2</v>
      </c>
      <c r="D6" s="27">
        <f>Параметры!$C$10*0.8</f>
        <v>0.16000000000000003</v>
      </c>
      <c r="E6" s="26" t="s">
        <v>276</v>
      </c>
    </row>
    <row r="7" spans="1:5" x14ac:dyDescent="0.25">
      <c r="A7" s="15" t="s">
        <v>277</v>
      </c>
      <c r="B7" s="27">
        <f>Параметры!$C$8*0.8</f>
        <v>6.4000000000000001E-2</v>
      </c>
      <c r="C7" s="28">
        <f>Параметры!$C$8</f>
        <v>0.08</v>
      </c>
      <c r="D7" s="27">
        <f>Параметры!$C$8*1.2</f>
        <v>9.6000000000000002E-2</v>
      </c>
      <c r="E7" s="26" t="s">
        <v>278</v>
      </c>
    </row>
    <row r="8" spans="1:5" x14ac:dyDescent="0.25">
      <c r="A8" s="15" t="s">
        <v>279</v>
      </c>
      <c r="B8" s="27">
        <f>Параметры!$C$9*1.2</f>
        <v>0.17399999999999999</v>
      </c>
      <c r="C8" s="28">
        <f>Параметры!$C$9</f>
        <v>0.14499999999999999</v>
      </c>
      <c r="D8" s="27">
        <f>Параметры!$C$9*0.8</f>
        <v>0.11599999999999999</v>
      </c>
      <c r="E8" s="26" t="s">
        <v>280</v>
      </c>
    </row>
    <row r="11" spans="1:5" x14ac:dyDescent="0.25">
      <c r="A11" s="30" t="s">
        <v>281</v>
      </c>
      <c r="B11" s="31"/>
      <c r="C11" s="31"/>
      <c r="D11" s="31"/>
      <c r="E11" s="31"/>
    </row>
    <row r="12" spans="1:5" x14ac:dyDescent="0.25">
      <c r="A12" s="15" t="s">
        <v>282</v>
      </c>
      <c r="B12" s="15" t="s">
        <v>9</v>
      </c>
      <c r="C12" s="25">
        <f>ИТОГ!$C$6</f>
        <v>11126181.676197298</v>
      </c>
    </row>
    <row r="13" spans="1:5" x14ac:dyDescent="0.25">
      <c r="A13" s="15" t="s">
        <v>283</v>
      </c>
      <c r="B13" s="15" t="s">
        <v>250</v>
      </c>
      <c r="C13" s="28">
        <f>ИТОГ!$C$7</f>
        <v>0.20966907279485003</v>
      </c>
    </row>
    <row r="14" spans="1:5" x14ac:dyDescent="0.25">
      <c r="A14" s="15" t="s">
        <v>284</v>
      </c>
      <c r="B14" s="15" t="s">
        <v>250</v>
      </c>
      <c r="C14" s="28">
        <f>ИТОГ!$C$8</f>
        <v>9.4665412248767424</v>
      </c>
    </row>
    <row r="15" spans="1:5" x14ac:dyDescent="0.25">
      <c r="A15" s="15" t="s">
        <v>252</v>
      </c>
      <c r="B15" s="15" t="s">
        <v>17</v>
      </c>
      <c r="C15" s="29">
        <f>ИТОГ!$C$9</f>
        <v>86</v>
      </c>
    </row>
    <row r="17" spans="1:5" x14ac:dyDescent="0.25">
      <c r="A17" s="30" t="s">
        <v>285</v>
      </c>
      <c r="B17" s="31"/>
      <c r="C17" s="31"/>
      <c r="D17" s="31"/>
      <c r="E17" s="31"/>
    </row>
    <row r="18" spans="1:5" x14ac:dyDescent="0.25">
      <c r="A18" s="33" t="s">
        <v>286</v>
      </c>
      <c r="B18" s="31"/>
      <c r="C18" s="31"/>
      <c r="D18" s="31"/>
      <c r="E18" s="31"/>
    </row>
    <row r="19" spans="1:5" x14ac:dyDescent="0.25">
      <c r="A19" s="33" t="s">
        <v>287</v>
      </c>
      <c r="B19" s="31"/>
      <c r="C19" s="31"/>
      <c r="D19" s="31"/>
      <c r="E19" s="31"/>
    </row>
    <row r="20" spans="1:5" x14ac:dyDescent="0.25">
      <c r="A20" s="33" t="s">
        <v>288</v>
      </c>
      <c r="B20" s="31"/>
      <c r="C20" s="31"/>
      <c r="D20" s="31"/>
      <c r="E20" s="31"/>
    </row>
    <row r="21" spans="1:5" x14ac:dyDescent="0.25">
      <c r="A21" s="33" t="s">
        <v>289</v>
      </c>
      <c r="B21" s="31"/>
      <c r="C21" s="31"/>
      <c r="D21" s="31"/>
      <c r="E21" s="31"/>
    </row>
  </sheetData>
  <mergeCells count="7">
    <mergeCell ref="A21:E21"/>
    <mergeCell ref="A20:E20"/>
    <mergeCell ref="A19:E19"/>
    <mergeCell ref="A11:E11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Денежные потоки</vt:lpstr>
      <vt:lpstr>ИТОГ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Terentev</cp:lastModifiedBy>
  <dcterms:created xsi:type="dcterms:W3CDTF">2026-06-02T13:02:57Z</dcterms:created>
  <dcterms:modified xsi:type="dcterms:W3CDTF">2026-06-02T13:22:31Z</dcterms:modified>
</cp:coreProperties>
</file>