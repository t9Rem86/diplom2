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pGrade\Desktop\diplom2\reports\"/>
    </mc:Choice>
  </mc:AlternateContent>
  <xr:revisionPtr revIDLastSave="0" documentId="13_ncr:1_{691DFC7F-CFB0-435E-819E-C11B446E3F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араметры" sheetId="1" r:id="rId1"/>
    <sheet name="Денежные потоки" sheetId="2" r:id="rId2"/>
    <sheet name="ИТОГ" sheetId="3" r:id="rId3"/>
    <sheet name="Чувствительност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4" l="1"/>
  <c r="C8" i="4"/>
  <c r="B8" i="4"/>
  <c r="D7" i="4"/>
  <c r="C7" i="4"/>
  <c r="B7" i="4"/>
  <c r="D6" i="4"/>
  <c r="C6" i="4"/>
  <c r="B6" i="4"/>
  <c r="C5" i="4"/>
  <c r="D4" i="4"/>
  <c r="C4" i="4"/>
  <c r="B4" i="4"/>
  <c r="C25" i="3"/>
  <c r="C10" i="3"/>
  <c r="C4" i="3"/>
  <c r="C3" i="3"/>
  <c r="C2" i="3"/>
  <c r="C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D50" i="2"/>
  <c r="E50" i="2" s="1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D29" i="2"/>
  <c r="G28" i="2"/>
  <c r="G27" i="2"/>
  <c r="G26" i="2"/>
  <c r="D26" i="2"/>
  <c r="E26" i="2" s="1"/>
  <c r="G25" i="2"/>
  <c r="G24" i="2"/>
  <c r="G23" i="2"/>
  <c r="G22" i="2"/>
  <c r="G21" i="2"/>
  <c r="G20" i="2"/>
  <c r="G19" i="2"/>
  <c r="G18" i="2"/>
  <c r="D18" i="2"/>
  <c r="G17" i="2"/>
  <c r="D17" i="2"/>
  <c r="D16" i="2"/>
  <c r="G13" i="2"/>
  <c r="G12" i="2"/>
  <c r="G11" i="2"/>
  <c r="D11" i="2"/>
  <c r="E11" i="2" s="1"/>
  <c r="G10" i="2"/>
  <c r="D10" i="2"/>
  <c r="G9" i="2"/>
  <c r="G8" i="2"/>
  <c r="T7" i="2"/>
  <c r="Q7" i="2"/>
  <c r="Q6" i="2"/>
  <c r="Q5" i="2"/>
  <c r="Q4" i="2"/>
  <c r="Q3" i="2"/>
  <c r="R2" i="2"/>
  <c r="Q2" i="2"/>
  <c r="C28" i="1"/>
  <c r="G16" i="2" s="1"/>
  <c r="C26" i="1"/>
  <c r="C25" i="1"/>
  <c r="C24" i="1"/>
  <c r="C23" i="1"/>
  <c r="C22" i="1"/>
  <c r="C24" i="3" s="1"/>
  <c r="C20" i="1"/>
  <c r="C7" i="1"/>
  <c r="D31" i="2" s="1"/>
  <c r="E10" i="2" l="1"/>
  <c r="I10" i="2" s="1"/>
  <c r="G14" i="2"/>
  <c r="D55" i="2"/>
  <c r="D13" i="2"/>
  <c r="E13" i="2" s="1"/>
  <c r="D22" i="2"/>
  <c r="E22" i="2" s="1"/>
  <c r="I22" i="2" s="1"/>
  <c r="D8" i="2"/>
  <c r="D15" i="2"/>
  <c r="G15" i="2"/>
  <c r="C19" i="3" s="1"/>
  <c r="I26" i="2"/>
  <c r="I13" i="2"/>
  <c r="I50" i="2"/>
  <c r="I11" i="2"/>
  <c r="E31" i="2"/>
  <c r="F31" i="2"/>
  <c r="H31" i="2" s="1"/>
  <c r="C21" i="1"/>
  <c r="T2" i="2"/>
  <c r="E17" i="2"/>
  <c r="F17" i="2" s="1"/>
  <c r="H17" i="2" s="1"/>
  <c r="E55" i="2"/>
  <c r="F55" i="2" s="1"/>
  <c r="H55" i="2" s="1"/>
  <c r="E15" i="2"/>
  <c r="D21" i="2"/>
  <c r="D33" i="2"/>
  <c r="D45" i="2"/>
  <c r="D74" i="2"/>
  <c r="D86" i="2"/>
  <c r="D98" i="2"/>
  <c r="D110" i="2"/>
  <c r="D38" i="2"/>
  <c r="R4" i="2"/>
  <c r="F13" i="2"/>
  <c r="H13" i="2" s="1"/>
  <c r="E18" i="2"/>
  <c r="F18" i="2" s="1"/>
  <c r="H18" i="2" s="1"/>
  <c r="D20" i="2"/>
  <c r="E29" i="2"/>
  <c r="F29" i="2" s="1"/>
  <c r="H29" i="2" s="1"/>
  <c r="D43" i="2"/>
  <c r="T4" i="2"/>
  <c r="M4" i="2" s="1"/>
  <c r="N4" i="2" s="1"/>
  <c r="R6" i="2"/>
  <c r="T6" i="2"/>
  <c r="M6" i="2" s="1"/>
  <c r="N6" i="2" s="1"/>
  <c r="D19" i="2"/>
  <c r="D32" i="2"/>
  <c r="D76" i="2"/>
  <c r="D88" i="2"/>
  <c r="D100" i="2"/>
  <c r="D112" i="2"/>
  <c r="F26" i="2"/>
  <c r="H26" i="2" s="1"/>
  <c r="T3" i="2"/>
  <c r="M3" i="2" s="1"/>
  <c r="N3" i="2" s="1"/>
  <c r="M7" i="2"/>
  <c r="D9" i="2"/>
  <c r="F11" i="2"/>
  <c r="H11" i="2" s="1"/>
  <c r="E16" i="2"/>
  <c r="M8" i="2"/>
  <c r="S8" i="2" s="1"/>
  <c r="C23" i="3"/>
  <c r="E8" i="2"/>
  <c r="F8" i="2" s="1"/>
  <c r="C27" i="1"/>
  <c r="K114" i="2" s="1"/>
  <c r="U3" i="2"/>
  <c r="D14" i="2"/>
  <c r="F50" i="2"/>
  <c r="H50" i="2" s="1"/>
  <c r="T5" i="2"/>
  <c r="M5" i="2" s="1"/>
  <c r="N5" i="2" s="1"/>
  <c r="R3" i="2"/>
  <c r="R122" i="2" s="1"/>
  <c r="R5" i="2"/>
  <c r="D5" i="4"/>
  <c r="B5" i="4"/>
  <c r="D113" i="2"/>
  <c r="D101" i="2"/>
  <c r="D89" i="2"/>
  <c r="D77" i="2"/>
  <c r="D65" i="2"/>
  <c r="D120" i="2"/>
  <c r="D108" i="2"/>
  <c r="D96" i="2"/>
  <c r="D84" i="2"/>
  <c r="D72" i="2"/>
  <c r="D115" i="2"/>
  <c r="D103" i="2"/>
  <c r="D91" i="2"/>
  <c r="D79" i="2"/>
  <c r="D67" i="2"/>
  <c r="D62" i="2"/>
  <c r="D54" i="2"/>
  <c r="D121" i="2"/>
  <c r="D109" i="2"/>
  <c r="D97" i="2"/>
  <c r="D85" i="2"/>
  <c r="D73" i="2"/>
  <c r="D119" i="2"/>
  <c r="D107" i="2"/>
  <c r="D95" i="2"/>
  <c r="D83" i="2"/>
  <c r="D66" i="2"/>
  <c r="D71" i="2"/>
  <c r="D61" i="2"/>
  <c r="D51" i="2"/>
  <c r="D118" i="2"/>
  <c r="D117" i="2"/>
  <c r="D106" i="2"/>
  <c r="D105" i="2"/>
  <c r="D94" i="2"/>
  <c r="D93" i="2"/>
  <c r="D82" i="2"/>
  <c r="D81" i="2"/>
  <c r="D114" i="2"/>
  <c r="D102" i="2"/>
  <c r="D90" i="2"/>
  <c r="D78" i="2"/>
  <c r="D69" i="2"/>
  <c r="D116" i="2"/>
  <c r="D104" i="2"/>
  <c r="D92" i="2"/>
  <c r="D80" i="2"/>
  <c r="D49" i="2"/>
  <c r="D40" i="2"/>
  <c r="D28" i="2"/>
  <c r="D60" i="2"/>
  <c r="D35" i="2"/>
  <c r="D23" i="2"/>
  <c r="D53" i="2"/>
  <c r="D42" i="2"/>
  <c r="D30" i="2"/>
  <c r="D59" i="2"/>
  <c r="D58" i="2"/>
  <c r="D48" i="2"/>
  <c r="D37" i="2"/>
  <c r="D25" i="2"/>
  <c r="D70" i="2"/>
  <c r="D63" i="2"/>
  <c r="D44" i="2"/>
  <c r="D111" i="2"/>
  <c r="D99" i="2"/>
  <c r="D87" i="2"/>
  <c r="D75" i="2"/>
  <c r="D52" i="2"/>
  <c r="D39" i="2"/>
  <c r="D27" i="2"/>
  <c r="D64" i="2"/>
  <c r="D57" i="2"/>
  <c r="D47" i="2"/>
  <c r="D34" i="2"/>
  <c r="D46" i="2"/>
  <c r="D41" i="2"/>
  <c r="D68" i="2"/>
  <c r="D56" i="2"/>
  <c r="D36" i="2"/>
  <c r="D24" i="2"/>
  <c r="Q122" i="2"/>
  <c r="R7" i="2"/>
  <c r="D12" i="2"/>
  <c r="K8" i="2" l="1"/>
  <c r="K62" i="2"/>
  <c r="K16" i="2"/>
  <c r="K95" i="2"/>
  <c r="K14" i="2"/>
  <c r="K90" i="2"/>
  <c r="G122" i="2"/>
  <c r="K33" i="2"/>
  <c r="K107" i="2"/>
  <c r="K11" i="2"/>
  <c r="K78" i="2"/>
  <c r="K17" i="2"/>
  <c r="K96" i="2"/>
  <c r="K112" i="2"/>
  <c r="K31" i="2"/>
  <c r="K43" i="2"/>
  <c r="K12" i="2"/>
  <c r="K108" i="2"/>
  <c r="K63" i="2"/>
  <c r="K117" i="2"/>
  <c r="K39" i="2"/>
  <c r="K21" i="2"/>
  <c r="D122" i="2"/>
  <c r="K118" i="2"/>
  <c r="K69" i="2"/>
  <c r="K121" i="2"/>
  <c r="K20" i="2"/>
  <c r="K57" i="2"/>
  <c r="K32" i="2"/>
  <c r="K13" i="2"/>
  <c r="K15" i="2"/>
  <c r="K54" i="2"/>
  <c r="K115" i="2"/>
  <c r="K40" i="2"/>
  <c r="K60" i="2"/>
  <c r="K65" i="2"/>
  <c r="K68" i="2"/>
  <c r="F22" i="2"/>
  <c r="H22" i="2" s="1"/>
  <c r="F10" i="2"/>
  <c r="H10" i="2" s="1"/>
  <c r="H8" i="2"/>
  <c r="T8" i="2"/>
  <c r="E65" i="2"/>
  <c r="E46" i="2"/>
  <c r="F46" i="2"/>
  <c r="H46" i="2" s="1"/>
  <c r="E44" i="2"/>
  <c r="E35" i="2"/>
  <c r="F35" i="2" s="1"/>
  <c r="H35" i="2" s="1"/>
  <c r="E102" i="2"/>
  <c r="F102" i="2" s="1"/>
  <c r="H102" i="2" s="1"/>
  <c r="E71" i="2"/>
  <c r="E62" i="2"/>
  <c r="F62" i="2" s="1"/>
  <c r="H62" i="2" s="1"/>
  <c r="E77" i="2"/>
  <c r="E19" i="2"/>
  <c r="K106" i="2"/>
  <c r="K28" i="2"/>
  <c r="K19" i="2"/>
  <c r="K83" i="2"/>
  <c r="K52" i="2"/>
  <c r="K55" i="2"/>
  <c r="K66" i="2"/>
  <c r="E110" i="2"/>
  <c r="F110" i="2" s="1"/>
  <c r="H110" i="2" s="1"/>
  <c r="K23" i="2"/>
  <c r="E61" i="2"/>
  <c r="F61" i="2"/>
  <c r="H61" i="2" s="1"/>
  <c r="E114" i="2"/>
  <c r="F114" i="2"/>
  <c r="H114" i="2" s="1"/>
  <c r="E47" i="2"/>
  <c r="F47" i="2" s="1"/>
  <c r="H47" i="2" s="1"/>
  <c r="E57" i="2"/>
  <c r="E100" i="2"/>
  <c r="F100" i="2" s="1"/>
  <c r="H100" i="2" s="1"/>
  <c r="K120" i="2"/>
  <c r="K71" i="2"/>
  <c r="K46" i="2"/>
  <c r="K119" i="2"/>
  <c r="K77" i="2"/>
  <c r="K80" i="2"/>
  <c r="K102" i="2"/>
  <c r="E74" i="2"/>
  <c r="M2" i="2"/>
  <c r="E34" i="2"/>
  <c r="F34" i="2"/>
  <c r="H34" i="2" s="1"/>
  <c r="E12" i="2"/>
  <c r="F103" i="2"/>
  <c r="H103" i="2" s="1"/>
  <c r="E103" i="2"/>
  <c r="K25" i="2"/>
  <c r="K42" i="2"/>
  <c r="K45" i="2"/>
  <c r="K56" i="2"/>
  <c r="K75" i="2"/>
  <c r="K89" i="2"/>
  <c r="K92" i="2"/>
  <c r="E54" i="2"/>
  <c r="F54" i="2"/>
  <c r="H54" i="2" s="1"/>
  <c r="E14" i="2"/>
  <c r="E70" i="2"/>
  <c r="E82" i="2"/>
  <c r="F94" i="2"/>
  <c r="H94" i="2" s="1"/>
  <c r="E94" i="2"/>
  <c r="J119" i="2"/>
  <c r="J107" i="2"/>
  <c r="J95" i="2"/>
  <c r="J83" i="2"/>
  <c r="J71" i="2"/>
  <c r="J114" i="2"/>
  <c r="J102" i="2"/>
  <c r="J90" i="2"/>
  <c r="J78" i="2"/>
  <c r="J121" i="2"/>
  <c r="J109" i="2"/>
  <c r="J97" i="2"/>
  <c r="J85" i="2"/>
  <c r="J73" i="2"/>
  <c r="J61" i="2"/>
  <c r="J117" i="2"/>
  <c r="J116" i="2"/>
  <c r="J105" i="2"/>
  <c r="J104" i="2"/>
  <c r="J93" i="2"/>
  <c r="J92" i="2"/>
  <c r="J81" i="2"/>
  <c r="J80" i="2"/>
  <c r="J70" i="2"/>
  <c r="J48" i="2"/>
  <c r="J115" i="2"/>
  <c r="J103" i="2"/>
  <c r="J91" i="2"/>
  <c r="J79" i="2"/>
  <c r="J64" i="2"/>
  <c r="J113" i="2"/>
  <c r="J101" i="2"/>
  <c r="J89" i="2"/>
  <c r="J77" i="2"/>
  <c r="J69" i="2"/>
  <c r="J57" i="2"/>
  <c r="J68" i="2"/>
  <c r="J63" i="2"/>
  <c r="J110" i="2"/>
  <c r="J98" i="2"/>
  <c r="J86" i="2"/>
  <c r="J74" i="2"/>
  <c r="J118" i="2"/>
  <c r="J106" i="2"/>
  <c r="J94" i="2"/>
  <c r="J82" i="2"/>
  <c r="J67" i="2"/>
  <c r="J47" i="2"/>
  <c r="J34" i="2"/>
  <c r="J22" i="2"/>
  <c r="J111" i="2"/>
  <c r="J99" i="2"/>
  <c r="J87" i="2"/>
  <c r="J75" i="2"/>
  <c r="J41" i="2"/>
  <c r="J29" i="2"/>
  <c r="J51" i="2"/>
  <c r="J36" i="2"/>
  <c r="J24" i="2"/>
  <c r="J56" i="2"/>
  <c r="J46" i="2"/>
  <c r="J43" i="2"/>
  <c r="J31" i="2"/>
  <c r="J19" i="2"/>
  <c r="J38" i="2"/>
  <c r="J55" i="2"/>
  <c r="J50" i="2"/>
  <c r="J45" i="2"/>
  <c r="J33" i="2"/>
  <c r="J21" i="2"/>
  <c r="J65" i="2"/>
  <c r="J40" i="2"/>
  <c r="J54" i="2"/>
  <c r="J49" i="2"/>
  <c r="J112" i="2"/>
  <c r="J100" i="2"/>
  <c r="J88" i="2"/>
  <c r="J76" i="2"/>
  <c r="J42" i="2"/>
  <c r="J30" i="2"/>
  <c r="J60" i="2"/>
  <c r="J35" i="2"/>
  <c r="J18" i="2"/>
  <c r="J27" i="2"/>
  <c r="J11" i="2"/>
  <c r="J32" i="2"/>
  <c r="J13" i="2"/>
  <c r="L13" i="2" s="1"/>
  <c r="J59" i="2"/>
  <c r="J25" i="2"/>
  <c r="J20" i="2"/>
  <c r="J8" i="2"/>
  <c r="J10" i="2"/>
  <c r="J12" i="2"/>
  <c r="J37" i="2"/>
  <c r="J9" i="2"/>
  <c r="J66" i="2"/>
  <c r="J15" i="2"/>
  <c r="J39" i="2"/>
  <c r="J62" i="2"/>
  <c r="J53" i="2"/>
  <c r="J26" i="2"/>
  <c r="J17" i="2"/>
  <c r="J58" i="2"/>
  <c r="J14" i="2"/>
  <c r="J23" i="2"/>
  <c r="J28" i="2"/>
  <c r="J120" i="2"/>
  <c r="J108" i="2"/>
  <c r="J96" i="2"/>
  <c r="J84" i="2"/>
  <c r="J72" i="2"/>
  <c r="J52" i="2"/>
  <c r="J44" i="2"/>
  <c r="J16" i="2"/>
  <c r="I16" i="2"/>
  <c r="L16" i="2" s="1"/>
  <c r="E88" i="2"/>
  <c r="K37" i="2"/>
  <c r="K74" i="2"/>
  <c r="K50" i="2"/>
  <c r="K24" i="2"/>
  <c r="K76" i="2"/>
  <c r="K101" i="2"/>
  <c r="K104" i="2"/>
  <c r="I15" i="2"/>
  <c r="L15" i="2" s="1"/>
  <c r="E41" i="2"/>
  <c r="E67" i="2"/>
  <c r="E98" i="2"/>
  <c r="F98" i="2" s="1"/>
  <c r="H98" i="2" s="1"/>
  <c r="E83" i="2"/>
  <c r="F83" i="2" s="1"/>
  <c r="H83" i="2" s="1"/>
  <c r="E86" i="2"/>
  <c r="F86" i="2" s="1"/>
  <c r="H86" i="2" s="1"/>
  <c r="E40" i="2"/>
  <c r="E107" i="2"/>
  <c r="E48" i="2"/>
  <c r="F48" i="2" s="1"/>
  <c r="H48" i="2" s="1"/>
  <c r="E58" i="2"/>
  <c r="F58" i="2" s="1"/>
  <c r="H58" i="2" s="1"/>
  <c r="E92" i="2"/>
  <c r="F92" i="2" s="1"/>
  <c r="H92" i="2" s="1"/>
  <c r="E105" i="2"/>
  <c r="F105" i="2" s="1"/>
  <c r="H105" i="2" s="1"/>
  <c r="E73" i="2"/>
  <c r="F73" i="2" s="1"/>
  <c r="H73" i="2" s="1"/>
  <c r="E72" i="2"/>
  <c r="F72" i="2" s="1"/>
  <c r="H72" i="2" s="1"/>
  <c r="K22" i="2"/>
  <c r="E43" i="2"/>
  <c r="F43" i="2" s="1"/>
  <c r="H43" i="2" s="1"/>
  <c r="K59" i="2"/>
  <c r="K86" i="2"/>
  <c r="K26" i="2"/>
  <c r="K36" i="2"/>
  <c r="K87" i="2"/>
  <c r="K113" i="2"/>
  <c r="K116" i="2"/>
  <c r="E38" i="2"/>
  <c r="K47" i="2"/>
  <c r="K9" i="2"/>
  <c r="F16" i="2"/>
  <c r="H16" i="2" s="1"/>
  <c r="E90" i="2"/>
  <c r="F90" i="2" s="1"/>
  <c r="H90" i="2" s="1"/>
  <c r="E63" i="2"/>
  <c r="E112" i="2"/>
  <c r="E28" i="2"/>
  <c r="F28" i="2" s="1"/>
  <c r="H28" i="2" s="1"/>
  <c r="E91" i="2"/>
  <c r="E37" i="2"/>
  <c r="F37" i="2" s="1"/>
  <c r="H37" i="2" s="1"/>
  <c r="E27" i="2"/>
  <c r="F27" i="2" s="1"/>
  <c r="H27" i="2" s="1"/>
  <c r="E115" i="2"/>
  <c r="E39" i="2"/>
  <c r="F24" i="2"/>
  <c r="H24" i="2" s="1"/>
  <c r="E24" i="2"/>
  <c r="E52" i="2"/>
  <c r="F52" i="2" s="1"/>
  <c r="H52" i="2" s="1"/>
  <c r="E59" i="2"/>
  <c r="F59" i="2" s="1"/>
  <c r="H59" i="2" s="1"/>
  <c r="E104" i="2"/>
  <c r="E106" i="2"/>
  <c r="F106" i="2" s="1"/>
  <c r="H106" i="2" s="1"/>
  <c r="E85" i="2"/>
  <c r="F85" i="2"/>
  <c r="H85" i="2" s="1"/>
  <c r="E84" i="2"/>
  <c r="F84" i="2" s="1"/>
  <c r="H84" i="2" s="1"/>
  <c r="K10" i="2"/>
  <c r="E76" i="2"/>
  <c r="F76" i="2" s="1"/>
  <c r="H76" i="2" s="1"/>
  <c r="K72" i="2"/>
  <c r="K98" i="2"/>
  <c r="K38" i="2"/>
  <c r="K51" i="2"/>
  <c r="K88" i="2"/>
  <c r="K64" i="2"/>
  <c r="K73" i="2"/>
  <c r="E45" i="2"/>
  <c r="F45" i="2" s="1"/>
  <c r="H45" i="2" s="1"/>
  <c r="I31" i="2"/>
  <c r="L31" i="2" s="1"/>
  <c r="K30" i="2"/>
  <c r="E66" i="2"/>
  <c r="F66" i="2" s="1"/>
  <c r="H66" i="2" s="1"/>
  <c r="F79" i="2"/>
  <c r="H79" i="2" s="1"/>
  <c r="E79" i="2"/>
  <c r="E113" i="2"/>
  <c r="F113" i="2" s="1"/>
  <c r="H113" i="2" s="1"/>
  <c r="E49" i="2"/>
  <c r="F49" i="2"/>
  <c r="H49" i="2" s="1"/>
  <c r="E80" i="2"/>
  <c r="E30" i="2"/>
  <c r="E116" i="2"/>
  <c r="F116" i="2" s="1"/>
  <c r="H116" i="2" s="1"/>
  <c r="E117" i="2"/>
  <c r="F117" i="2" s="1"/>
  <c r="H117" i="2" s="1"/>
  <c r="E97" i="2"/>
  <c r="E96" i="2"/>
  <c r="F96" i="2" s="1"/>
  <c r="H96" i="2" s="1"/>
  <c r="U6" i="2"/>
  <c r="K18" i="2"/>
  <c r="E9" i="2"/>
  <c r="K53" i="2"/>
  <c r="I29" i="2"/>
  <c r="L29" i="2" s="1"/>
  <c r="K82" i="2"/>
  <c r="K110" i="2"/>
  <c r="K81" i="2"/>
  <c r="K70" i="2"/>
  <c r="K99" i="2"/>
  <c r="K79" i="2"/>
  <c r="K85" i="2"/>
  <c r="K44" i="2"/>
  <c r="K34" i="2"/>
  <c r="C12" i="3"/>
  <c r="F15" i="2"/>
  <c r="H15" i="2" s="1"/>
  <c r="E111" i="2"/>
  <c r="F111" i="2" s="1"/>
  <c r="H111" i="2" s="1"/>
  <c r="F89" i="2"/>
  <c r="H89" i="2" s="1"/>
  <c r="E89" i="2"/>
  <c r="E81" i="2"/>
  <c r="E21" i="2"/>
  <c r="E25" i="2"/>
  <c r="F25" i="2" s="1"/>
  <c r="H25" i="2" s="1"/>
  <c r="E64" i="2"/>
  <c r="E93" i="2"/>
  <c r="F93" i="2" s="1"/>
  <c r="H93" i="2" s="1"/>
  <c r="U5" i="2"/>
  <c r="E119" i="2"/>
  <c r="F36" i="2"/>
  <c r="H36" i="2" s="1"/>
  <c r="E36" i="2"/>
  <c r="E56" i="2"/>
  <c r="F56" i="2" s="1"/>
  <c r="H56" i="2" s="1"/>
  <c r="E42" i="2"/>
  <c r="E69" i="2"/>
  <c r="E118" i="2"/>
  <c r="F118" i="2" s="1"/>
  <c r="H118" i="2" s="1"/>
  <c r="E109" i="2"/>
  <c r="F109" i="2" s="1"/>
  <c r="H109" i="2" s="1"/>
  <c r="E108" i="2"/>
  <c r="F108" i="2" s="1"/>
  <c r="H108" i="2" s="1"/>
  <c r="K67" i="2"/>
  <c r="K48" i="2"/>
  <c r="I8" i="2"/>
  <c r="L8" i="2" s="1"/>
  <c r="N7" i="2"/>
  <c r="U7" i="2"/>
  <c r="K84" i="2"/>
  <c r="K35" i="2"/>
  <c r="K93" i="2"/>
  <c r="K29" i="2"/>
  <c r="K100" i="2"/>
  <c r="K91" i="2"/>
  <c r="K97" i="2"/>
  <c r="K61" i="2"/>
  <c r="E33" i="2"/>
  <c r="F33" i="2" s="1"/>
  <c r="H33" i="2" s="1"/>
  <c r="E23" i="2"/>
  <c r="F23" i="2"/>
  <c r="H23" i="2" s="1"/>
  <c r="I18" i="2"/>
  <c r="L18" i="2"/>
  <c r="E60" i="2"/>
  <c r="F60" i="2" s="1"/>
  <c r="H60" i="2" s="1"/>
  <c r="I17" i="2"/>
  <c r="E101" i="2"/>
  <c r="F101" i="2" s="1"/>
  <c r="H101" i="2" s="1"/>
  <c r="E95" i="2"/>
  <c r="E75" i="2"/>
  <c r="F75" i="2"/>
  <c r="H75" i="2" s="1"/>
  <c r="E87" i="2"/>
  <c r="F87" i="2"/>
  <c r="H87" i="2" s="1"/>
  <c r="E68" i="2"/>
  <c r="F68" i="2" s="1"/>
  <c r="H68" i="2" s="1"/>
  <c r="E99" i="2"/>
  <c r="F99" i="2"/>
  <c r="H99" i="2" s="1"/>
  <c r="E53" i="2"/>
  <c r="F53" i="2" s="1"/>
  <c r="H53" i="2" s="1"/>
  <c r="E78" i="2"/>
  <c r="F78" i="2" s="1"/>
  <c r="H78" i="2" s="1"/>
  <c r="E51" i="2"/>
  <c r="F51" i="2" s="1"/>
  <c r="H51" i="2" s="1"/>
  <c r="E121" i="2"/>
  <c r="F121" i="2"/>
  <c r="H121" i="2" s="1"/>
  <c r="E120" i="2"/>
  <c r="F120" i="2" s="1"/>
  <c r="H120" i="2" s="1"/>
  <c r="U4" i="2"/>
  <c r="E32" i="2"/>
  <c r="F32" i="2" s="1"/>
  <c r="H32" i="2" s="1"/>
  <c r="E20" i="2"/>
  <c r="F20" i="2" s="1"/>
  <c r="H20" i="2" s="1"/>
  <c r="K94" i="2"/>
  <c r="K49" i="2"/>
  <c r="K105" i="2"/>
  <c r="K41" i="2"/>
  <c r="K111" i="2"/>
  <c r="K103" i="2"/>
  <c r="K109" i="2"/>
  <c r="K58" i="2"/>
  <c r="K27" i="2"/>
  <c r="I55" i="2"/>
  <c r="L55" i="2" l="1"/>
  <c r="L26" i="2"/>
  <c r="L22" i="2"/>
  <c r="C13" i="3"/>
  <c r="C20" i="3"/>
  <c r="L11" i="2"/>
  <c r="L17" i="2"/>
  <c r="N8" i="2"/>
  <c r="I115" i="2"/>
  <c r="L115" i="2" s="1"/>
  <c r="L63" i="2"/>
  <c r="I63" i="2"/>
  <c r="I14" i="2"/>
  <c r="L14" i="2" s="1"/>
  <c r="I19" i="2"/>
  <c r="L19" i="2" s="1"/>
  <c r="I44" i="2"/>
  <c r="L44" i="2" s="1"/>
  <c r="I75" i="2"/>
  <c r="L75" i="2" s="1"/>
  <c r="I23" i="2"/>
  <c r="L23" i="2" s="1"/>
  <c r="I93" i="2"/>
  <c r="L93" i="2" s="1"/>
  <c r="I117" i="2"/>
  <c r="L117" i="2"/>
  <c r="I79" i="2"/>
  <c r="L79" i="2" s="1"/>
  <c r="F115" i="2"/>
  <c r="H115" i="2" s="1"/>
  <c r="F63" i="2"/>
  <c r="H63" i="2" s="1"/>
  <c r="I92" i="2"/>
  <c r="L92" i="2" s="1"/>
  <c r="I83" i="2"/>
  <c r="L83" i="2" s="1"/>
  <c r="F14" i="2"/>
  <c r="H14" i="2" s="1"/>
  <c r="F12" i="2"/>
  <c r="H12" i="2" s="1"/>
  <c r="L61" i="2"/>
  <c r="I61" i="2"/>
  <c r="F19" i="2"/>
  <c r="H19" i="2" s="1"/>
  <c r="F44" i="2"/>
  <c r="H44" i="2" s="1"/>
  <c r="I59" i="2"/>
  <c r="L59" i="2" s="1"/>
  <c r="I37" i="2"/>
  <c r="L37" i="2" s="1"/>
  <c r="I43" i="2"/>
  <c r="L43" i="2" s="1"/>
  <c r="I58" i="2"/>
  <c r="L58" i="2" s="1"/>
  <c r="I94" i="2"/>
  <c r="L94" i="2" s="1"/>
  <c r="I34" i="2"/>
  <c r="L34" i="2" s="1"/>
  <c r="I100" i="2"/>
  <c r="L100" i="2" s="1"/>
  <c r="I65" i="2"/>
  <c r="L65" i="2"/>
  <c r="I104" i="2"/>
  <c r="L104" i="2" s="1"/>
  <c r="F104" i="2"/>
  <c r="H104" i="2" s="1"/>
  <c r="I67" i="2"/>
  <c r="L67" i="2"/>
  <c r="N2" i="2"/>
  <c r="U2" i="2"/>
  <c r="I62" i="2"/>
  <c r="L62" i="2" s="1"/>
  <c r="F65" i="2"/>
  <c r="H65" i="2" s="1"/>
  <c r="I69" i="2"/>
  <c r="L69" i="2" s="1"/>
  <c r="I64" i="2"/>
  <c r="L64" i="2"/>
  <c r="I110" i="2"/>
  <c r="L110" i="2" s="1"/>
  <c r="I42" i="2"/>
  <c r="L42" i="2" s="1"/>
  <c r="L9" i="2"/>
  <c r="N9" i="2" s="1"/>
  <c r="I9" i="2"/>
  <c r="I91" i="2"/>
  <c r="L91" i="2" s="1"/>
  <c r="F67" i="2"/>
  <c r="H67" i="2" s="1"/>
  <c r="I88" i="2"/>
  <c r="L88" i="2" s="1"/>
  <c r="I82" i="2"/>
  <c r="L82" i="2" s="1"/>
  <c r="I57" i="2"/>
  <c r="L57" i="2" s="1"/>
  <c r="I71" i="2"/>
  <c r="L71" i="2" s="1"/>
  <c r="I97" i="2"/>
  <c r="L97" i="2" s="1"/>
  <c r="I95" i="2"/>
  <c r="L95" i="2" s="1"/>
  <c r="L77" i="2"/>
  <c r="I77" i="2"/>
  <c r="I46" i="2"/>
  <c r="L46" i="2" s="1"/>
  <c r="I101" i="2"/>
  <c r="L101" i="2" s="1"/>
  <c r="E122" i="2"/>
  <c r="L30" i="2"/>
  <c r="I30" i="2"/>
  <c r="I48" i="2"/>
  <c r="L48" i="2" s="1"/>
  <c r="F9" i="2"/>
  <c r="F30" i="2"/>
  <c r="H30" i="2" s="1"/>
  <c r="I80" i="2"/>
  <c r="L80" i="2" s="1"/>
  <c r="F91" i="2"/>
  <c r="H91" i="2" s="1"/>
  <c r="I38" i="2"/>
  <c r="L38" i="2" s="1"/>
  <c r="I107" i="2"/>
  <c r="L107" i="2" s="1"/>
  <c r="I41" i="2"/>
  <c r="L41" i="2" s="1"/>
  <c r="F88" i="2"/>
  <c r="H88" i="2" s="1"/>
  <c r="F82" i="2"/>
  <c r="H82" i="2" s="1"/>
  <c r="L74" i="2"/>
  <c r="I74" i="2"/>
  <c r="F57" i="2"/>
  <c r="H57" i="2" s="1"/>
  <c r="F71" i="2"/>
  <c r="H71" i="2" s="1"/>
  <c r="M9" i="2"/>
  <c r="S9" i="2" s="1"/>
  <c r="I118" i="2"/>
  <c r="L118" i="2" s="1"/>
  <c r="I106" i="2"/>
  <c r="L106" i="2" s="1"/>
  <c r="I111" i="2"/>
  <c r="L111" i="2" s="1"/>
  <c r="F64" i="2"/>
  <c r="H64" i="2" s="1"/>
  <c r="F42" i="2"/>
  <c r="H42" i="2" s="1"/>
  <c r="I76" i="2"/>
  <c r="L76" i="2" s="1"/>
  <c r="I56" i="2"/>
  <c r="L56" i="2" s="1"/>
  <c r="I52" i="2"/>
  <c r="L52" i="2" s="1"/>
  <c r="I99" i="2"/>
  <c r="L99" i="2" s="1"/>
  <c r="L21" i="2"/>
  <c r="I21" i="2"/>
  <c r="I68" i="2"/>
  <c r="L68" i="2" s="1"/>
  <c r="I36" i="2"/>
  <c r="L36" i="2" s="1"/>
  <c r="F21" i="2"/>
  <c r="H21" i="2" s="1"/>
  <c r="F80" i="2"/>
  <c r="H80" i="2" s="1"/>
  <c r="I45" i="2"/>
  <c r="L45" i="2" s="1"/>
  <c r="I24" i="2"/>
  <c r="L24" i="2" s="1"/>
  <c r="I28" i="2"/>
  <c r="L28" i="2" s="1"/>
  <c r="F38" i="2"/>
  <c r="H38" i="2" s="1"/>
  <c r="I72" i="2"/>
  <c r="L72" i="2" s="1"/>
  <c r="F107" i="2"/>
  <c r="H107" i="2" s="1"/>
  <c r="F41" i="2"/>
  <c r="H41" i="2" s="1"/>
  <c r="L10" i="2"/>
  <c r="K122" i="2"/>
  <c r="F74" i="2"/>
  <c r="H74" i="2" s="1"/>
  <c r="I47" i="2"/>
  <c r="L47" i="2" s="1"/>
  <c r="I12" i="2"/>
  <c r="L12" i="2" s="1"/>
  <c r="I20" i="2"/>
  <c r="L20" i="2" s="1"/>
  <c r="I116" i="2"/>
  <c r="L116" i="2" s="1"/>
  <c r="I90" i="2"/>
  <c r="L90" i="2"/>
  <c r="F77" i="2"/>
  <c r="H77" i="2" s="1"/>
  <c r="I53" i="2"/>
  <c r="L53" i="2" s="1"/>
  <c r="I120" i="2"/>
  <c r="L120" i="2" s="1"/>
  <c r="I60" i="2"/>
  <c r="L60" i="2"/>
  <c r="I108" i="2"/>
  <c r="L108" i="2" s="1"/>
  <c r="I81" i="2"/>
  <c r="L81" i="2"/>
  <c r="I84" i="2"/>
  <c r="L84" i="2" s="1"/>
  <c r="I40" i="2"/>
  <c r="L40" i="2" s="1"/>
  <c r="J122" i="2"/>
  <c r="L50" i="2"/>
  <c r="I102" i="2"/>
  <c r="L102" i="2"/>
  <c r="I51" i="2"/>
  <c r="L51" i="2" s="1"/>
  <c r="L33" i="2"/>
  <c r="I33" i="2"/>
  <c r="I27" i="2"/>
  <c r="L27" i="2"/>
  <c r="I78" i="2"/>
  <c r="L78" i="2" s="1"/>
  <c r="F69" i="2"/>
  <c r="H69" i="2" s="1"/>
  <c r="I119" i="2"/>
  <c r="L119" i="2"/>
  <c r="F81" i="2"/>
  <c r="H81" i="2" s="1"/>
  <c r="I96" i="2"/>
  <c r="L96" i="2" s="1"/>
  <c r="I49" i="2"/>
  <c r="L49" i="2" s="1"/>
  <c r="I39" i="2"/>
  <c r="L39" i="2" s="1"/>
  <c r="I112" i="2"/>
  <c r="L112" i="2" s="1"/>
  <c r="I73" i="2"/>
  <c r="L73" i="2" s="1"/>
  <c r="F40" i="2"/>
  <c r="H40" i="2" s="1"/>
  <c r="I70" i="2"/>
  <c r="L70" i="2" s="1"/>
  <c r="F95" i="2"/>
  <c r="H95" i="2" s="1"/>
  <c r="I66" i="2"/>
  <c r="L66" i="2"/>
  <c r="I98" i="2"/>
  <c r="L98" i="2" s="1"/>
  <c r="I54" i="2"/>
  <c r="L54" i="2" s="1"/>
  <c r="I32" i="2"/>
  <c r="L32" i="2" s="1"/>
  <c r="I25" i="2"/>
  <c r="L25" i="2" s="1"/>
  <c r="I121" i="2"/>
  <c r="L121" i="2" s="1"/>
  <c r="I87" i="2"/>
  <c r="L87" i="2" s="1"/>
  <c r="L109" i="2"/>
  <c r="I109" i="2"/>
  <c r="F119" i="2"/>
  <c r="H119" i="2" s="1"/>
  <c r="I89" i="2"/>
  <c r="L89" i="2" s="1"/>
  <c r="F97" i="2"/>
  <c r="H97" i="2" s="1"/>
  <c r="I113" i="2"/>
  <c r="L113" i="2" s="1"/>
  <c r="I85" i="2"/>
  <c r="L85" i="2" s="1"/>
  <c r="F39" i="2"/>
  <c r="H39" i="2" s="1"/>
  <c r="F112" i="2"/>
  <c r="H112" i="2" s="1"/>
  <c r="I105" i="2"/>
  <c r="L105" i="2" s="1"/>
  <c r="I86" i="2"/>
  <c r="L86" i="2" s="1"/>
  <c r="F70" i="2"/>
  <c r="H70" i="2" s="1"/>
  <c r="I103" i="2"/>
  <c r="L103" i="2" s="1"/>
  <c r="I114" i="2"/>
  <c r="L114" i="2" s="1"/>
  <c r="I35" i="2"/>
  <c r="L35" i="2" s="1"/>
  <c r="O9" i="2" l="1"/>
  <c r="P9" i="2" s="1"/>
  <c r="V2" i="2"/>
  <c r="I122" i="2"/>
  <c r="T9" i="2"/>
  <c r="C14" i="3"/>
  <c r="O8" i="2"/>
  <c r="P8" i="2" s="1"/>
  <c r="H9" i="2"/>
  <c r="F122" i="2"/>
  <c r="L122" i="2"/>
  <c r="U9" i="2" l="1"/>
  <c r="U8" i="2"/>
  <c r="V3" i="2"/>
  <c r="V4" i="2" s="1"/>
  <c r="V5" i="2" s="1"/>
  <c r="V6" i="2" s="1"/>
  <c r="V7" i="2" s="1"/>
  <c r="V8" i="2" s="1"/>
  <c r="V9" i="2" s="1"/>
  <c r="M10" i="2"/>
  <c r="C18" i="3"/>
  <c r="H122" i="2"/>
  <c r="C9" i="3" l="1"/>
  <c r="C14" i="4" s="1"/>
  <c r="S10" i="2"/>
  <c r="N10" i="2"/>
  <c r="T10" i="2" l="1"/>
  <c r="O10" i="2"/>
  <c r="P10" i="2" s="1"/>
  <c r="U10" i="2" l="1"/>
  <c r="M11" i="2"/>
  <c r="S11" i="2" l="1"/>
  <c r="N11" i="2"/>
  <c r="V10" i="2"/>
  <c r="O11" i="2" l="1"/>
  <c r="P11" i="2" s="1"/>
  <c r="T11" i="2"/>
  <c r="U11" i="2" l="1"/>
  <c r="M12" i="2"/>
  <c r="S12" i="2" l="1"/>
  <c r="T12" i="2" s="1"/>
  <c r="N12" i="2"/>
  <c r="V11" i="2"/>
  <c r="O12" i="2" l="1"/>
  <c r="M13" i="2"/>
  <c r="P12" i="2" l="1"/>
  <c r="S13" i="2"/>
  <c r="T13" i="2" s="1"/>
  <c r="N13" i="2"/>
  <c r="O13" i="2" l="1"/>
  <c r="U12" i="2"/>
  <c r="M14" i="2"/>
  <c r="S14" i="2" l="1"/>
  <c r="T14" i="2" s="1"/>
  <c r="N14" i="2"/>
  <c r="V12" i="2"/>
  <c r="P13" i="2"/>
  <c r="O14" i="2" l="1"/>
  <c r="P14" i="2" s="1"/>
  <c r="U14" i="2" s="1"/>
  <c r="U13" i="2"/>
  <c r="V13" i="2" s="1"/>
  <c r="M15" i="2"/>
  <c r="V14" i="2" l="1"/>
  <c r="S15" i="2"/>
  <c r="T15" i="2" s="1"/>
  <c r="N15" i="2"/>
  <c r="O15" i="2" l="1"/>
  <c r="P15" i="2" s="1"/>
  <c r="U15" i="2" s="1"/>
  <c r="V15" i="2" s="1"/>
  <c r="M16" i="2"/>
  <c r="S16" i="2" l="1"/>
  <c r="T16" i="2" s="1"/>
  <c r="N16" i="2"/>
  <c r="O16" i="2" l="1"/>
  <c r="P16" i="2" s="1"/>
  <c r="U16" i="2" s="1"/>
  <c r="V16" i="2" s="1"/>
  <c r="M17" i="2"/>
  <c r="S17" i="2" l="1"/>
  <c r="T17" i="2" s="1"/>
  <c r="N17" i="2"/>
  <c r="O17" i="2" l="1"/>
  <c r="P17" i="2" s="1"/>
  <c r="U17" i="2" s="1"/>
  <c r="V17" i="2" s="1"/>
  <c r="M18" i="2"/>
  <c r="S18" i="2" l="1"/>
  <c r="T18" i="2" s="1"/>
  <c r="N18" i="2"/>
  <c r="O18" i="2" l="1"/>
  <c r="P18" i="2" s="1"/>
  <c r="U18" i="2" s="1"/>
  <c r="V18" i="2" s="1"/>
  <c r="M19" i="2"/>
  <c r="S19" i="2" l="1"/>
  <c r="T19" i="2" s="1"/>
  <c r="N19" i="2"/>
  <c r="M20" i="2" l="1"/>
  <c r="O19" i="2"/>
  <c r="P19" i="2" s="1"/>
  <c r="U19" i="2" s="1"/>
  <c r="V19" i="2" s="1"/>
  <c r="S20" i="2" l="1"/>
  <c r="T20" i="2" s="1"/>
  <c r="N20" i="2"/>
  <c r="O20" i="2" l="1"/>
  <c r="P20" i="2" s="1"/>
  <c r="U20" i="2" s="1"/>
  <c r="V20" i="2" s="1"/>
  <c r="M21" i="2"/>
  <c r="S21" i="2" l="1"/>
  <c r="T21" i="2" s="1"/>
  <c r="N21" i="2"/>
  <c r="O21" i="2" l="1"/>
  <c r="P21" i="2" s="1"/>
  <c r="U21" i="2" s="1"/>
  <c r="V21" i="2" s="1"/>
  <c r="M22" i="2"/>
  <c r="S22" i="2" l="1"/>
  <c r="T22" i="2" s="1"/>
  <c r="N22" i="2"/>
  <c r="O22" i="2" l="1"/>
  <c r="P22" i="2" s="1"/>
  <c r="U22" i="2" s="1"/>
  <c r="V22" i="2" s="1"/>
  <c r="M23" i="2"/>
  <c r="S23" i="2" l="1"/>
  <c r="T23" i="2" s="1"/>
  <c r="N23" i="2"/>
  <c r="M24" i="2" l="1"/>
  <c r="O23" i="2"/>
  <c r="P23" i="2" s="1"/>
  <c r="U23" i="2" s="1"/>
  <c r="V23" i="2" s="1"/>
  <c r="S24" i="2" l="1"/>
  <c r="T24" i="2" s="1"/>
  <c r="N24" i="2"/>
  <c r="M25" i="2" l="1"/>
  <c r="O24" i="2"/>
  <c r="P24" i="2" s="1"/>
  <c r="U24" i="2" s="1"/>
  <c r="V24" i="2" s="1"/>
  <c r="S25" i="2" l="1"/>
  <c r="T25" i="2" s="1"/>
  <c r="N25" i="2"/>
  <c r="O25" i="2" l="1"/>
  <c r="P25" i="2" s="1"/>
  <c r="U25" i="2" s="1"/>
  <c r="V25" i="2" s="1"/>
  <c r="M26" i="2"/>
  <c r="S26" i="2" l="1"/>
  <c r="T26" i="2" s="1"/>
  <c r="N26" i="2"/>
  <c r="O26" i="2" l="1"/>
  <c r="P26" i="2" s="1"/>
  <c r="U26" i="2" s="1"/>
  <c r="V26" i="2" s="1"/>
  <c r="M27" i="2"/>
  <c r="S27" i="2" l="1"/>
  <c r="T27" i="2" s="1"/>
  <c r="N27" i="2"/>
  <c r="O27" i="2" l="1"/>
  <c r="P27" i="2" s="1"/>
  <c r="U27" i="2" s="1"/>
  <c r="V27" i="2" s="1"/>
  <c r="M28" i="2"/>
  <c r="S28" i="2" l="1"/>
  <c r="T28" i="2" s="1"/>
  <c r="N28" i="2"/>
  <c r="O28" i="2" l="1"/>
  <c r="P28" i="2" s="1"/>
  <c r="U28" i="2" s="1"/>
  <c r="V28" i="2" s="1"/>
  <c r="M29" i="2"/>
  <c r="S29" i="2" l="1"/>
  <c r="T29" i="2" s="1"/>
  <c r="N29" i="2"/>
  <c r="O29" i="2" l="1"/>
  <c r="P29" i="2" s="1"/>
  <c r="U29" i="2" s="1"/>
  <c r="V29" i="2" s="1"/>
  <c r="M30" i="2"/>
  <c r="S30" i="2" l="1"/>
  <c r="T30" i="2" s="1"/>
  <c r="N30" i="2"/>
  <c r="O30" i="2" l="1"/>
  <c r="P30" i="2" s="1"/>
  <c r="U30" i="2" s="1"/>
  <c r="V30" i="2" s="1"/>
  <c r="M31" i="2"/>
  <c r="S31" i="2" l="1"/>
  <c r="T31" i="2" s="1"/>
  <c r="N31" i="2"/>
  <c r="O31" i="2" l="1"/>
  <c r="P31" i="2" s="1"/>
  <c r="U31" i="2" s="1"/>
  <c r="V31" i="2" s="1"/>
  <c r="M32" i="2"/>
  <c r="S32" i="2" l="1"/>
  <c r="T32" i="2" s="1"/>
  <c r="N32" i="2"/>
  <c r="O32" i="2" l="1"/>
  <c r="P32" i="2" s="1"/>
  <c r="U32" i="2" s="1"/>
  <c r="V32" i="2" s="1"/>
  <c r="M33" i="2"/>
  <c r="S33" i="2" l="1"/>
  <c r="T33" i="2" s="1"/>
  <c r="N33" i="2"/>
  <c r="O33" i="2" l="1"/>
  <c r="P33" i="2" s="1"/>
  <c r="U33" i="2" s="1"/>
  <c r="V33" i="2" s="1"/>
  <c r="M34" i="2"/>
  <c r="S34" i="2" l="1"/>
  <c r="T34" i="2" s="1"/>
  <c r="N34" i="2"/>
  <c r="O34" i="2" l="1"/>
  <c r="P34" i="2" s="1"/>
  <c r="U34" i="2" s="1"/>
  <c r="V34" i="2" s="1"/>
  <c r="M35" i="2"/>
  <c r="S35" i="2" l="1"/>
  <c r="T35" i="2" s="1"/>
  <c r="N35" i="2"/>
  <c r="O35" i="2" l="1"/>
  <c r="P35" i="2" s="1"/>
  <c r="U35" i="2" s="1"/>
  <c r="V35" i="2" s="1"/>
  <c r="M36" i="2"/>
  <c r="S36" i="2" l="1"/>
  <c r="T36" i="2" s="1"/>
  <c r="N36" i="2"/>
  <c r="O36" i="2" l="1"/>
  <c r="P36" i="2" s="1"/>
  <c r="U36" i="2" s="1"/>
  <c r="V36" i="2" s="1"/>
  <c r="M37" i="2"/>
  <c r="S37" i="2" l="1"/>
  <c r="T37" i="2" s="1"/>
  <c r="N37" i="2"/>
  <c r="O37" i="2" l="1"/>
  <c r="P37" i="2" s="1"/>
  <c r="U37" i="2" s="1"/>
  <c r="V37" i="2" s="1"/>
  <c r="M38" i="2"/>
  <c r="S38" i="2" l="1"/>
  <c r="T38" i="2" s="1"/>
  <c r="N38" i="2"/>
  <c r="O38" i="2" l="1"/>
  <c r="P38" i="2" s="1"/>
  <c r="U38" i="2" s="1"/>
  <c r="V38" i="2" s="1"/>
  <c r="M39" i="2"/>
  <c r="S39" i="2" l="1"/>
  <c r="T39" i="2" s="1"/>
  <c r="N39" i="2"/>
  <c r="M40" i="2" l="1"/>
  <c r="O39" i="2"/>
  <c r="P39" i="2" s="1"/>
  <c r="U39" i="2" s="1"/>
  <c r="V39" i="2" s="1"/>
  <c r="S40" i="2" l="1"/>
  <c r="T40" i="2" s="1"/>
  <c r="N40" i="2"/>
  <c r="O40" i="2" l="1"/>
  <c r="P40" i="2" s="1"/>
  <c r="U40" i="2" s="1"/>
  <c r="V40" i="2" s="1"/>
  <c r="M41" i="2"/>
  <c r="S41" i="2" l="1"/>
  <c r="T41" i="2" s="1"/>
  <c r="N41" i="2"/>
  <c r="O41" i="2" l="1"/>
  <c r="P41" i="2" s="1"/>
  <c r="U41" i="2" s="1"/>
  <c r="V41" i="2" s="1"/>
  <c r="M42" i="2"/>
  <c r="S42" i="2" l="1"/>
  <c r="T42" i="2" s="1"/>
  <c r="N42" i="2"/>
  <c r="O42" i="2" l="1"/>
  <c r="P42" i="2" s="1"/>
  <c r="U42" i="2" s="1"/>
  <c r="V42" i="2" s="1"/>
  <c r="M43" i="2"/>
  <c r="S43" i="2" l="1"/>
  <c r="T43" i="2" s="1"/>
  <c r="N43" i="2"/>
  <c r="O43" i="2" l="1"/>
  <c r="P43" i="2" s="1"/>
  <c r="U43" i="2" s="1"/>
  <c r="V43" i="2" s="1"/>
  <c r="M44" i="2"/>
  <c r="S44" i="2" l="1"/>
  <c r="T44" i="2" s="1"/>
  <c r="N44" i="2"/>
  <c r="O44" i="2" l="1"/>
  <c r="P44" i="2" s="1"/>
  <c r="U44" i="2" s="1"/>
  <c r="V44" i="2" s="1"/>
  <c r="M45" i="2"/>
  <c r="S45" i="2" l="1"/>
  <c r="T45" i="2" s="1"/>
  <c r="N45" i="2"/>
  <c r="O45" i="2" l="1"/>
  <c r="P45" i="2" s="1"/>
  <c r="U45" i="2" s="1"/>
  <c r="V45" i="2" s="1"/>
  <c r="M46" i="2"/>
  <c r="S46" i="2" l="1"/>
  <c r="T46" i="2" s="1"/>
  <c r="N46" i="2"/>
  <c r="O46" i="2" l="1"/>
  <c r="P46" i="2" s="1"/>
  <c r="U46" i="2" s="1"/>
  <c r="V46" i="2" s="1"/>
  <c r="M47" i="2"/>
  <c r="S47" i="2" l="1"/>
  <c r="T47" i="2" s="1"/>
  <c r="N47" i="2"/>
  <c r="O47" i="2" l="1"/>
  <c r="P47" i="2" s="1"/>
  <c r="U47" i="2" s="1"/>
  <c r="V47" i="2" s="1"/>
  <c r="M48" i="2"/>
  <c r="S48" i="2" l="1"/>
  <c r="T48" i="2" s="1"/>
  <c r="N48" i="2"/>
  <c r="O48" i="2" l="1"/>
  <c r="P48" i="2" s="1"/>
  <c r="U48" i="2" s="1"/>
  <c r="V48" i="2" s="1"/>
  <c r="M49" i="2"/>
  <c r="S49" i="2" l="1"/>
  <c r="T49" i="2" s="1"/>
  <c r="N49" i="2"/>
  <c r="O49" i="2" l="1"/>
  <c r="P49" i="2" s="1"/>
  <c r="U49" i="2" s="1"/>
  <c r="V49" i="2" s="1"/>
  <c r="M50" i="2"/>
  <c r="S50" i="2" l="1"/>
  <c r="T50" i="2" s="1"/>
  <c r="N50" i="2"/>
  <c r="O50" i="2" l="1"/>
  <c r="P50" i="2" s="1"/>
  <c r="U50" i="2" s="1"/>
  <c r="V50" i="2" s="1"/>
  <c r="M51" i="2"/>
  <c r="S51" i="2" l="1"/>
  <c r="T51" i="2" s="1"/>
  <c r="N51" i="2"/>
  <c r="O51" i="2" l="1"/>
  <c r="P51" i="2" s="1"/>
  <c r="U51" i="2" s="1"/>
  <c r="V51" i="2" s="1"/>
  <c r="M52" i="2"/>
  <c r="S52" i="2" l="1"/>
  <c r="T52" i="2" s="1"/>
  <c r="N52" i="2"/>
  <c r="O52" i="2" l="1"/>
  <c r="P52" i="2" s="1"/>
  <c r="U52" i="2" s="1"/>
  <c r="V52" i="2" s="1"/>
  <c r="M53" i="2"/>
  <c r="S53" i="2" l="1"/>
  <c r="T53" i="2" s="1"/>
  <c r="N53" i="2"/>
  <c r="O53" i="2" l="1"/>
  <c r="P53" i="2" s="1"/>
  <c r="U53" i="2" s="1"/>
  <c r="V53" i="2" s="1"/>
  <c r="M54" i="2"/>
  <c r="S54" i="2" l="1"/>
  <c r="T54" i="2" s="1"/>
  <c r="N54" i="2"/>
  <c r="O54" i="2" l="1"/>
  <c r="P54" i="2" s="1"/>
  <c r="U54" i="2" s="1"/>
  <c r="V54" i="2" s="1"/>
  <c r="M55" i="2"/>
  <c r="S55" i="2" l="1"/>
  <c r="T55" i="2" s="1"/>
  <c r="N55" i="2"/>
  <c r="O55" i="2" l="1"/>
  <c r="P55" i="2" s="1"/>
  <c r="U55" i="2" s="1"/>
  <c r="V55" i="2" s="1"/>
  <c r="M56" i="2"/>
  <c r="S56" i="2" l="1"/>
  <c r="T56" i="2" s="1"/>
  <c r="N56" i="2"/>
  <c r="O56" i="2" l="1"/>
  <c r="P56" i="2" s="1"/>
  <c r="U56" i="2" s="1"/>
  <c r="V56" i="2" s="1"/>
  <c r="M57" i="2"/>
  <c r="S57" i="2" l="1"/>
  <c r="T57" i="2" s="1"/>
  <c r="N57" i="2"/>
  <c r="O57" i="2" l="1"/>
  <c r="P57" i="2" s="1"/>
  <c r="U57" i="2" s="1"/>
  <c r="V57" i="2" s="1"/>
  <c r="M58" i="2"/>
  <c r="S58" i="2" l="1"/>
  <c r="T58" i="2" s="1"/>
  <c r="N58" i="2"/>
  <c r="M59" i="2" l="1"/>
  <c r="O58" i="2"/>
  <c r="P58" i="2" s="1"/>
  <c r="U58" i="2" s="1"/>
  <c r="V58" i="2" s="1"/>
  <c r="S59" i="2" l="1"/>
  <c r="T59" i="2" s="1"/>
  <c r="N59" i="2"/>
  <c r="O59" i="2" l="1"/>
  <c r="P59" i="2" s="1"/>
  <c r="U59" i="2" s="1"/>
  <c r="V59" i="2" s="1"/>
  <c r="M60" i="2"/>
  <c r="S60" i="2" l="1"/>
  <c r="T60" i="2" s="1"/>
  <c r="N60" i="2"/>
  <c r="O60" i="2" l="1"/>
  <c r="P60" i="2" s="1"/>
  <c r="U60" i="2" s="1"/>
  <c r="V60" i="2" s="1"/>
  <c r="M61" i="2"/>
  <c r="S61" i="2" l="1"/>
  <c r="T61" i="2" s="1"/>
  <c r="N61" i="2"/>
  <c r="O61" i="2" l="1"/>
  <c r="P61" i="2" s="1"/>
  <c r="U61" i="2" s="1"/>
  <c r="V61" i="2" s="1"/>
  <c r="M62" i="2"/>
  <c r="S62" i="2" l="1"/>
  <c r="T62" i="2" s="1"/>
  <c r="N62" i="2"/>
  <c r="O62" i="2" l="1"/>
  <c r="P62" i="2"/>
  <c r="U62" i="2" s="1"/>
  <c r="V62" i="2" s="1"/>
  <c r="M63" i="2"/>
  <c r="S63" i="2" l="1"/>
  <c r="T63" i="2" s="1"/>
  <c r="N63" i="2"/>
  <c r="O63" i="2" l="1"/>
  <c r="P63" i="2" s="1"/>
  <c r="U63" i="2" s="1"/>
  <c r="V63" i="2" s="1"/>
  <c r="M64" i="2"/>
  <c r="S64" i="2" l="1"/>
  <c r="T64" i="2" s="1"/>
  <c r="N64" i="2"/>
  <c r="O64" i="2" l="1"/>
  <c r="P64" i="2" s="1"/>
  <c r="U64" i="2" s="1"/>
  <c r="V64" i="2" s="1"/>
  <c r="M65" i="2"/>
  <c r="S65" i="2" l="1"/>
  <c r="T65" i="2" s="1"/>
  <c r="N65" i="2"/>
  <c r="O65" i="2" l="1"/>
  <c r="P65" i="2" s="1"/>
  <c r="U65" i="2" s="1"/>
  <c r="V65" i="2" s="1"/>
  <c r="M66" i="2"/>
  <c r="S66" i="2" l="1"/>
  <c r="T66" i="2" s="1"/>
  <c r="N66" i="2"/>
  <c r="O66" i="2" l="1"/>
  <c r="P66" i="2" s="1"/>
  <c r="U66" i="2" s="1"/>
  <c r="V66" i="2" s="1"/>
  <c r="M67" i="2"/>
  <c r="S67" i="2" l="1"/>
  <c r="T67" i="2" s="1"/>
  <c r="N67" i="2"/>
  <c r="M68" i="2" l="1"/>
  <c r="O67" i="2"/>
  <c r="P67" i="2" s="1"/>
  <c r="U67" i="2" s="1"/>
  <c r="V67" i="2" s="1"/>
  <c r="S68" i="2" l="1"/>
  <c r="T68" i="2" s="1"/>
  <c r="N68" i="2"/>
  <c r="M69" i="2" l="1"/>
  <c r="O68" i="2"/>
  <c r="P68" i="2" s="1"/>
  <c r="U68" i="2" s="1"/>
  <c r="V68" i="2" s="1"/>
  <c r="S69" i="2" l="1"/>
  <c r="T69" i="2" s="1"/>
  <c r="N69" i="2"/>
  <c r="O69" i="2" l="1"/>
  <c r="P69" i="2" s="1"/>
  <c r="U69" i="2" s="1"/>
  <c r="V69" i="2" s="1"/>
  <c r="M70" i="2"/>
  <c r="S70" i="2" l="1"/>
  <c r="T70" i="2" s="1"/>
  <c r="N70" i="2"/>
  <c r="O70" i="2" l="1"/>
  <c r="P70" i="2" s="1"/>
  <c r="U70" i="2" s="1"/>
  <c r="V70" i="2" s="1"/>
  <c r="M71" i="2"/>
  <c r="S71" i="2" l="1"/>
  <c r="T71" i="2" s="1"/>
  <c r="N71" i="2"/>
  <c r="O71" i="2" l="1"/>
  <c r="P71" i="2" s="1"/>
  <c r="U71" i="2" s="1"/>
  <c r="V71" i="2" s="1"/>
  <c r="M72" i="2"/>
  <c r="S72" i="2" l="1"/>
  <c r="T72" i="2" s="1"/>
  <c r="N72" i="2"/>
  <c r="O72" i="2" l="1"/>
  <c r="P72" i="2" s="1"/>
  <c r="U72" i="2" s="1"/>
  <c r="V72" i="2" s="1"/>
  <c r="M73" i="2"/>
  <c r="S73" i="2" l="1"/>
  <c r="T73" i="2" s="1"/>
  <c r="N73" i="2"/>
  <c r="O73" i="2" l="1"/>
  <c r="P73" i="2" s="1"/>
  <c r="U73" i="2" s="1"/>
  <c r="V73" i="2" s="1"/>
  <c r="M74" i="2"/>
  <c r="S74" i="2" l="1"/>
  <c r="T74" i="2" s="1"/>
  <c r="N74" i="2"/>
  <c r="O74" i="2" l="1"/>
  <c r="P74" i="2" s="1"/>
  <c r="U74" i="2" s="1"/>
  <c r="V74" i="2" s="1"/>
  <c r="M75" i="2"/>
  <c r="S75" i="2" l="1"/>
  <c r="T75" i="2" s="1"/>
  <c r="N75" i="2"/>
  <c r="O75" i="2" l="1"/>
  <c r="P75" i="2" s="1"/>
  <c r="U75" i="2" s="1"/>
  <c r="V75" i="2" s="1"/>
  <c r="M76" i="2"/>
  <c r="S76" i="2" l="1"/>
  <c r="T76" i="2" s="1"/>
  <c r="N76" i="2"/>
  <c r="O76" i="2" l="1"/>
  <c r="P76" i="2" s="1"/>
  <c r="U76" i="2" s="1"/>
  <c r="V76" i="2" s="1"/>
  <c r="M77" i="2"/>
  <c r="S77" i="2" l="1"/>
  <c r="T77" i="2" s="1"/>
  <c r="N77" i="2"/>
  <c r="O77" i="2" l="1"/>
  <c r="P77" i="2" s="1"/>
  <c r="U77" i="2" s="1"/>
  <c r="V77" i="2" s="1"/>
  <c r="M78" i="2"/>
  <c r="S78" i="2" l="1"/>
  <c r="T78" i="2" s="1"/>
  <c r="N78" i="2"/>
  <c r="O78" i="2" l="1"/>
  <c r="P78" i="2" s="1"/>
  <c r="U78" i="2" s="1"/>
  <c r="V78" i="2" s="1"/>
  <c r="M79" i="2"/>
  <c r="S79" i="2" l="1"/>
  <c r="T79" i="2" s="1"/>
  <c r="N79" i="2"/>
  <c r="O79" i="2" l="1"/>
  <c r="P79" i="2" s="1"/>
  <c r="U79" i="2" s="1"/>
  <c r="V79" i="2" s="1"/>
  <c r="M80" i="2"/>
  <c r="S80" i="2" l="1"/>
  <c r="T80" i="2" s="1"/>
  <c r="N80" i="2"/>
  <c r="O80" i="2" l="1"/>
  <c r="P80" i="2" s="1"/>
  <c r="U80" i="2" s="1"/>
  <c r="V80" i="2" s="1"/>
  <c r="M81" i="2"/>
  <c r="S81" i="2" l="1"/>
  <c r="T81" i="2" s="1"/>
  <c r="N81" i="2"/>
  <c r="O81" i="2" l="1"/>
  <c r="P81" i="2" s="1"/>
  <c r="U81" i="2" s="1"/>
  <c r="V81" i="2" s="1"/>
  <c r="M82" i="2"/>
  <c r="S82" i="2" l="1"/>
  <c r="T82" i="2" s="1"/>
  <c r="N82" i="2"/>
  <c r="O82" i="2" l="1"/>
  <c r="P82" i="2" s="1"/>
  <c r="U82" i="2" s="1"/>
  <c r="V82" i="2" s="1"/>
  <c r="M83" i="2"/>
  <c r="S83" i="2" l="1"/>
  <c r="T83" i="2" s="1"/>
  <c r="N83" i="2"/>
  <c r="M84" i="2" l="1"/>
  <c r="O83" i="2"/>
  <c r="P83" i="2" s="1"/>
  <c r="U83" i="2" s="1"/>
  <c r="V83" i="2" s="1"/>
  <c r="S84" i="2" l="1"/>
  <c r="T84" i="2" s="1"/>
  <c r="N84" i="2"/>
  <c r="O84" i="2" l="1"/>
  <c r="P84" i="2" s="1"/>
  <c r="U84" i="2" s="1"/>
  <c r="V84" i="2" s="1"/>
  <c r="M85" i="2"/>
  <c r="S85" i="2" l="1"/>
  <c r="T85" i="2" s="1"/>
  <c r="N85" i="2"/>
  <c r="O85" i="2" l="1"/>
  <c r="P85" i="2" s="1"/>
  <c r="U85" i="2" s="1"/>
  <c r="V85" i="2" s="1"/>
  <c r="M86" i="2"/>
  <c r="S86" i="2" l="1"/>
  <c r="T86" i="2" s="1"/>
  <c r="N86" i="2"/>
  <c r="O86" i="2" l="1"/>
  <c r="P86" i="2" s="1"/>
  <c r="U86" i="2" s="1"/>
  <c r="V86" i="2" s="1"/>
  <c r="M87" i="2"/>
  <c r="S87" i="2" l="1"/>
  <c r="T87" i="2" s="1"/>
  <c r="N87" i="2"/>
  <c r="O87" i="2" l="1"/>
  <c r="P87" i="2" s="1"/>
  <c r="U87" i="2" s="1"/>
  <c r="V87" i="2" s="1"/>
  <c r="M88" i="2"/>
  <c r="S88" i="2" l="1"/>
  <c r="T88" i="2" s="1"/>
  <c r="N88" i="2"/>
  <c r="O88" i="2" l="1"/>
  <c r="P88" i="2" s="1"/>
  <c r="U88" i="2" s="1"/>
  <c r="V88" i="2" s="1"/>
  <c r="M89" i="2"/>
  <c r="S89" i="2" l="1"/>
  <c r="T89" i="2" s="1"/>
  <c r="N89" i="2"/>
  <c r="O89" i="2" l="1"/>
  <c r="P89" i="2" s="1"/>
  <c r="U89" i="2" s="1"/>
  <c r="V89" i="2" s="1"/>
  <c r="M90" i="2"/>
  <c r="S90" i="2" l="1"/>
  <c r="T90" i="2" s="1"/>
  <c r="N90" i="2"/>
  <c r="O90" i="2" l="1"/>
  <c r="P90" i="2" s="1"/>
  <c r="U90" i="2" s="1"/>
  <c r="V90" i="2" s="1"/>
  <c r="M91" i="2"/>
  <c r="S91" i="2" l="1"/>
  <c r="T91" i="2" s="1"/>
  <c r="N91" i="2"/>
  <c r="O91" i="2" l="1"/>
  <c r="P91" i="2" s="1"/>
  <c r="U91" i="2" s="1"/>
  <c r="V91" i="2" s="1"/>
  <c r="M92" i="2"/>
  <c r="S92" i="2" l="1"/>
  <c r="T92" i="2" s="1"/>
  <c r="N92" i="2"/>
  <c r="O92" i="2" l="1"/>
  <c r="P92" i="2" s="1"/>
  <c r="U92" i="2" s="1"/>
  <c r="V92" i="2" s="1"/>
  <c r="M93" i="2"/>
  <c r="S93" i="2" l="1"/>
  <c r="T93" i="2" s="1"/>
  <c r="N93" i="2"/>
  <c r="O93" i="2" l="1"/>
  <c r="P93" i="2" s="1"/>
  <c r="U93" i="2" s="1"/>
  <c r="V93" i="2" s="1"/>
  <c r="M94" i="2"/>
  <c r="S94" i="2" l="1"/>
  <c r="T94" i="2" s="1"/>
  <c r="N94" i="2"/>
  <c r="O94" i="2" l="1"/>
  <c r="P94" i="2" s="1"/>
  <c r="U94" i="2" s="1"/>
  <c r="V94" i="2" s="1"/>
  <c r="M95" i="2"/>
  <c r="S95" i="2" l="1"/>
  <c r="T95" i="2" s="1"/>
  <c r="N95" i="2"/>
  <c r="O95" i="2" l="1"/>
  <c r="P95" i="2" s="1"/>
  <c r="U95" i="2" s="1"/>
  <c r="V95" i="2" s="1"/>
  <c r="M96" i="2"/>
  <c r="S96" i="2" l="1"/>
  <c r="T96" i="2" s="1"/>
  <c r="N96" i="2"/>
  <c r="O96" i="2" l="1"/>
  <c r="P96" i="2" s="1"/>
  <c r="U96" i="2" s="1"/>
  <c r="V96" i="2" s="1"/>
  <c r="M97" i="2"/>
  <c r="S97" i="2" l="1"/>
  <c r="T97" i="2" s="1"/>
  <c r="N97" i="2"/>
  <c r="O97" i="2" l="1"/>
  <c r="P97" i="2" s="1"/>
  <c r="U97" i="2" s="1"/>
  <c r="V97" i="2" s="1"/>
  <c r="M98" i="2"/>
  <c r="S98" i="2" l="1"/>
  <c r="T98" i="2" s="1"/>
  <c r="N98" i="2"/>
  <c r="O98" i="2" l="1"/>
  <c r="P98" i="2" s="1"/>
  <c r="U98" i="2" s="1"/>
  <c r="V98" i="2" s="1"/>
  <c r="M99" i="2"/>
  <c r="S99" i="2" l="1"/>
  <c r="T99" i="2" s="1"/>
  <c r="N99" i="2"/>
  <c r="O99" i="2" l="1"/>
  <c r="P99" i="2" s="1"/>
  <c r="U99" i="2" s="1"/>
  <c r="V99" i="2" s="1"/>
  <c r="M100" i="2"/>
  <c r="S100" i="2" l="1"/>
  <c r="T100" i="2" s="1"/>
  <c r="N100" i="2"/>
  <c r="O100" i="2" l="1"/>
  <c r="P100" i="2" s="1"/>
  <c r="U100" i="2" s="1"/>
  <c r="V100" i="2" s="1"/>
  <c r="M101" i="2"/>
  <c r="S101" i="2" l="1"/>
  <c r="T101" i="2" s="1"/>
  <c r="N101" i="2"/>
  <c r="M102" i="2" l="1"/>
  <c r="O101" i="2"/>
  <c r="P101" i="2" s="1"/>
  <c r="U101" i="2" s="1"/>
  <c r="V101" i="2" s="1"/>
  <c r="S102" i="2" l="1"/>
  <c r="T102" i="2" s="1"/>
  <c r="N102" i="2"/>
  <c r="M103" i="2" l="1"/>
  <c r="O102" i="2"/>
  <c r="P102" i="2" s="1"/>
  <c r="U102" i="2" s="1"/>
  <c r="V102" i="2" s="1"/>
  <c r="S103" i="2" l="1"/>
  <c r="T103" i="2" s="1"/>
  <c r="N103" i="2"/>
  <c r="M104" i="2" l="1"/>
  <c r="O103" i="2"/>
  <c r="P103" i="2" s="1"/>
  <c r="U103" i="2" s="1"/>
  <c r="V103" i="2" s="1"/>
  <c r="S104" i="2" l="1"/>
  <c r="T104" i="2" s="1"/>
  <c r="N104" i="2"/>
  <c r="O104" i="2" l="1"/>
  <c r="P104" i="2" s="1"/>
  <c r="U104" i="2" s="1"/>
  <c r="V104" i="2" s="1"/>
  <c r="M105" i="2"/>
  <c r="S105" i="2" l="1"/>
  <c r="T105" i="2" s="1"/>
  <c r="N105" i="2"/>
  <c r="O105" i="2" l="1"/>
  <c r="P105" i="2" s="1"/>
  <c r="U105" i="2" s="1"/>
  <c r="V105" i="2" s="1"/>
  <c r="M106" i="2"/>
  <c r="S106" i="2" l="1"/>
  <c r="T106" i="2" s="1"/>
  <c r="N106" i="2"/>
  <c r="O106" i="2" l="1"/>
  <c r="P106" i="2" s="1"/>
  <c r="U106" i="2" s="1"/>
  <c r="V106" i="2" s="1"/>
  <c r="M107" i="2"/>
  <c r="S107" i="2" l="1"/>
  <c r="T107" i="2" s="1"/>
  <c r="N107" i="2"/>
  <c r="O107" i="2" l="1"/>
  <c r="P107" i="2" s="1"/>
  <c r="U107" i="2" s="1"/>
  <c r="V107" i="2" s="1"/>
  <c r="M108" i="2"/>
  <c r="S108" i="2" l="1"/>
  <c r="T108" i="2" s="1"/>
  <c r="N108" i="2"/>
  <c r="M109" i="2" l="1"/>
  <c r="O108" i="2"/>
  <c r="P108" i="2" s="1"/>
  <c r="U108" i="2" s="1"/>
  <c r="V108" i="2" s="1"/>
  <c r="S109" i="2" l="1"/>
  <c r="T109" i="2" s="1"/>
  <c r="N109" i="2"/>
  <c r="O109" i="2" l="1"/>
  <c r="P109" i="2" s="1"/>
  <c r="U109" i="2" s="1"/>
  <c r="V109" i="2" s="1"/>
  <c r="M110" i="2"/>
  <c r="S110" i="2" l="1"/>
  <c r="T110" i="2" s="1"/>
  <c r="N110" i="2"/>
  <c r="O110" i="2" l="1"/>
  <c r="P110" i="2" s="1"/>
  <c r="U110" i="2" s="1"/>
  <c r="V110" i="2" s="1"/>
  <c r="M111" i="2"/>
  <c r="S111" i="2" l="1"/>
  <c r="T111" i="2" s="1"/>
  <c r="N111" i="2"/>
  <c r="M112" i="2" l="1"/>
  <c r="O111" i="2"/>
  <c r="P111" i="2" s="1"/>
  <c r="U111" i="2" s="1"/>
  <c r="V111" i="2" s="1"/>
  <c r="S112" i="2" l="1"/>
  <c r="T112" i="2" s="1"/>
  <c r="N112" i="2"/>
  <c r="O112" i="2" l="1"/>
  <c r="P112" i="2" s="1"/>
  <c r="U112" i="2" s="1"/>
  <c r="V112" i="2" s="1"/>
  <c r="M113" i="2"/>
  <c r="S113" i="2" l="1"/>
  <c r="T113" i="2" s="1"/>
  <c r="N113" i="2"/>
  <c r="O113" i="2" l="1"/>
  <c r="P113" i="2" s="1"/>
  <c r="U113" i="2" s="1"/>
  <c r="V113" i="2" s="1"/>
  <c r="M114" i="2"/>
  <c r="S114" i="2" l="1"/>
  <c r="T114" i="2" s="1"/>
  <c r="N114" i="2"/>
  <c r="O114" i="2" l="1"/>
  <c r="P114" i="2" s="1"/>
  <c r="U114" i="2" s="1"/>
  <c r="V114" i="2" s="1"/>
  <c r="M115" i="2"/>
  <c r="S115" i="2" l="1"/>
  <c r="T115" i="2" s="1"/>
  <c r="N115" i="2"/>
  <c r="O115" i="2" l="1"/>
  <c r="P115" i="2" s="1"/>
  <c r="U115" i="2" s="1"/>
  <c r="V115" i="2" s="1"/>
  <c r="M116" i="2"/>
  <c r="S116" i="2" l="1"/>
  <c r="T116" i="2" s="1"/>
  <c r="N116" i="2"/>
  <c r="O116" i="2" l="1"/>
  <c r="P116" i="2" s="1"/>
  <c r="U116" i="2" s="1"/>
  <c r="V116" i="2" s="1"/>
  <c r="M117" i="2"/>
  <c r="S117" i="2" l="1"/>
  <c r="T117" i="2" s="1"/>
  <c r="N117" i="2"/>
  <c r="M118" i="2" l="1"/>
  <c r="O117" i="2"/>
  <c r="P117" i="2" s="1"/>
  <c r="U117" i="2" s="1"/>
  <c r="V117" i="2" s="1"/>
  <c r="S118" i="2" l="1"/>
  <c r="T118" i="2" s="1"/>
  <c r="N118" i="2"/>
  <c r="O118" i="2" l="1"/>
  <c r="P118" i="2" s="1"/>
  <c r="U118" i="2" s="1"/>
  <c r="V118" i="2" s="1"/>
  <c r="M119" i="2"/>
  <c r="S119" i="2" l="1"/>
  <c r="T119" i="2" s="1"/>
  <c r="N119" i="2"/>
  <c r="O119" i="2" l="1"/>
  <c r="P119" i="2" s="1"/>
  <c r="U119" i="2" s="1"/>
  <c r="V119" i="2" s="1"/>
  <c r="M120" i="2"/>
  <c r="S120" i="2" l="1"/>
  <c r="T120" i="2" s="1"/>
  <c r="N120" i="2"/>
  <c r="O120" i="2" l="1"/>
  <c r="P120" i="2" s="1"/>
  <c r="U120" i="2" s="1"/>
  <c r="V120" i="2" s="1"/>
  <c r="M121" i="2"/>
  <c r="S121" i="2" l="1"/>
  <c r="N121" i="2"/>
  <c r="C21" i="3"/>
  <c r="M122" i="2"/>
  <c r="O121" i="2" l="1"/>
  <c r="N122" i="2"/>
  <c r="S122" i="2"/>
  <c r="T121" i="2"/>
  <c r="T122" i="2" s="1"/>
  <c r="C17" i="3" l="1"/>
  <c r="O122" i="2"/>
  <c r="P121" i="2"/>
  <c r="U121" i="2" l="1"/>
  <c r="C8" i="3"/>
  <c r="C13" i="4" s="1"/>
  <c r="C15" i="3"/>
  <c r="P122" i="2"/>
  <c r="U122" i="2" l="1"/>
  <c r="C7" i="3"/>
  <c r="C12" i="4" s="1"/>
  <c r="C6" i="3"/>
  <c r="C11" i="4" s="1"/>
  <c r="V121" i="2"/>
  <c r="V122" i="2" s="1"/>
</calcChain>
</file>

<file path=xl/sharedStrings.xml><?xml version="1.0" encoding="utf-8"?>
<sst xmlns="http://schemas.openxmlformats.org/spreadsheetml/2006/main" count="382" uniqueCount="228">
  <si>
    <t>ВХОДНЫЕ ПАРАМЕТРЫ ПРОЕКТА</t>
  </si>
  <si>
    <t>Название проекта</t>
  </si>
  <si>
    <t>Склад_Челябинск</t>
  </si>
  <si>
    <t>Дата начала строительства</t>
  </si>
  <si>
    <t>ГГГГ-ММ</t>
  </si>
  <si>
    <t>2026-07</t>
  </si>
  <si>
    <t>Площадь объекта</t>
  </si>
  <si>
    <t>кв.м.</t>
  </si>
  <si>
    <t>Себестоимость строительства (с НДС)</t>
  </si>
  <si>
    <t>руб.</t>
  </si>
  <si>
    <t>Доля кредита</t>
  </si>
  <si>
    <t>Арендная ставка</t>
  </si>
  <si>
    <t>руб./кв.м./мес.</t>
  </si>
  <si>
    <t>Годовая инфляция (индексация аренды)</t>
  </si>
  <si>
    <t>Ставка ЦБ (ставка дисконтирования)</t>
  </si>
  <si>
    <t>Кредитная ставка</t>
  </si>
  <si>
    <t>Срок строительства</t>
  </si>
  <si>
    <t>мес.</t>
  </si>
  <si>
    <t>Горизонт планирования</t>
  </si>
  <si>
    <t>Ставка НДС</t>
  </si>
  <si>
    <t>Ставка налога на прибыль</t>
  </si>
  <si>
    <t>Ставка налога на имущество</t>
  </si>
  <si>
    <t>в год</t>
  </si>
  <si>
    <t>Операционные расходы</t>
  </si>
  <si>
    <t>% от выручки б/НДС</t>
  </si>
  <si>
    <t>Срок полезного использования</t>
  </si>
  <si>
    <t>лет</t>
  </si>
  <si>
    <t>РАСЧЁТНЫЕ (ПРОИЗВОДНЫЕ) ПАРАМЕТРЫ</t>
  </si>
  <si>
    <t>Изменяйте только синие ячейки выше — формулы ниже пересчитаются автоматически.</t>
  </si>
  <si>
    <t>Себестоимость без НДС</t>
  </si>
  <si>
    <t>НДС строительства</t>
  </si>
  <si>
    <t>Сумма кредита</t>
  </si>
  <si>
    <t>Собственные средства</t>
  </si>
  <si>
    <t>Стоимость 1 кв.м.</t>
  </si>
  <si>
    <t>Период эксплуатации</t>
  </si>
  <si>
    <t>Аннуитетный платёж (в мес.)</t>
  </si>
  <si>
    <t>руб./мес.</t>
  </si>
  <si>
    <t>Амортизация (в мес.)</t>
  </si>
  <si>
    <t>НДС к возмещению (1-3 мес. экспл.)</t>
  </si>
  <si>
    <t>Мес.</t>
  </si>
  <si>
    <t>Дата</t>
  </si>
  <si>
    <t>Фаза</t>
  </si>
  <si>
    <t>Выручка с НДС</t>
  </si>
  <si>
    <t>Выручка без НДС</t>
  </si>
  <si>
    <t>НДС выходной</t>
  </si>
  <si>
    <t>НДС входной</t>
  </si>
  <si>
    <t>НДС нетто</t>
  </si>
  <si>
    <t>Опер. расходы</t>
  </si>
  <si>
    <t>Амортизация</t>
  </si>
  <si>
    <t>Налог на имущ.</t>
  </si>
  <si>
    <t>EBIT</t>
  </si>
  <si>
    <t>Проценты</t>
  </si>
  <si>
    <t>EBT</t>
  </si>
  <si>
    <t>Налог на прибыль</t>
  </si>
  <si>
    <t>Чистая прибыль</t>
  </si>
  <si>
    <t>Капвложения</t>
  </si>
  <si>
    <t>Транш кредита</t>
  </si>
  <si>
    <t>Погашение кредита</t>
  </si>
  <si>
    <t>Остаток кредита</t>
  </si>
  <si>
    <t>CF инвестора</t>
  </si>
  <si>
    <t>Накопл. CF</t>
  </si>
  <si>
    <t>2026-02</t>
  </si>
  <si>
    <t>Строительство</t>
  </si>
  <si>
    <t>2026-03</t>
  </si>
  <si>
    <t>2026-04</t>
  </si>
  <si>
    <t>2026-05</t>
  </si>
  <si>
    <t>2026-06</t>
  </si>
  <si>
    <t>2026-08</t>
  </si>
  <si>
    <t>Эксплуатация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</si>
  <si>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</si>
  <si>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</si>
  <si>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</si>
  <si>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</si>
  <si>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</si>
  <si>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</si>
  <si>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</si>
  <si>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</si>
  <si>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</si>
  <si>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</si>
  <si>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</si>
  <si>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</si>
  <si>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</si>
  <si>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</si>
  <si>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</si>
  <si>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</si>
  <si>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</si>
  <si>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</si>
  <si>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</si>
  <si>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</si>
  <si>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</si>
  <si>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</si>
  <si>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</si>
  <si>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</si>
  <si>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</si>
  <si>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</si>
  <si>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</si>
  <si>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</si>
  <si>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</si>
  <si>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</si>
  <si>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</si>
  <si>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</si>
  <si>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</si>
  <si>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</si>
  <si>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</si>
  <si>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</si>
  <si>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</si>
  <si>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</si>
  <si>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</si>
  <si>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</si>
  <si>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</si>
  <si>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</si>
  <si>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</si>
  <si>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</si>
  <si>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</si>
  <si>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</si>
  <si>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</si>
  <si>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</si>
  <si>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</si>
  <si>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</si>
  <si>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</si>
  <si>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</si>
  <si>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</si>
  <si>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</si>
  <si>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</si>
  <si>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</si>
  <si>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</si>
  <si>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</si>
  <si>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</si>
  <si>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</si>
  <si>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</si>
  <si>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2031-10</t>
  </si>
  <si>
    <t>2031-11</t>
  </si>
  <si>
    <t>2031-12</t>
  </si>
  <si>
    <t>2032-01</t>
  </si>
  <si>
    <t>2032-02</t>
  </si>
  <si>
    <t>2032-03</t>
  </si>
  <si>
    <t>2032-04</t>
  </si>
  <si>
    <t>2032-05</t>
  </si>
  <si>
    <t>2032-06</t>
  </si>
  <si>
    <t>2032-07</t>
  </si>
  <si>
    <t>2032-08</t>
  </si>
  <si>
    <t>2032-09</t>
  </si>
  <si>
    <t>2032-10</t>
  </si>
  <si>
    <t>2032-11</t>
  </si>
  <si>
    <t>2032-12</t>
  </si>
  <si>
    <t>2033-01</t>
  </si>
  <si>
    <t>2033-02</t>
  </si>
  <si>
    <t>2033-03</t>
  </si>
  <si>
    <t>2033-04</t>
  </si>
  <si>
    <t>2033-05</t>
  </si>
  <si>
    <t>2033-06</t>
  </si>
  <si>
    <t>2033-07</t>
  </si>
  <si>
    <t>2033-08</t>
  </si>
  <si>
    <t>2033-09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</si>
  <si>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</si>
  <si>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</si>
  <si>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</si>
  <si>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</si>
  <si>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</si>
  <si>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</si>
  <si>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</si>
  <si>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</si>
  <si>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</si>
  <si>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</si>
  <si>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</si>
  <si>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</si>
  <si>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2034-10</t>
  </si>
  <si>
    <t>2034-11</t>
  </si>
  <si>
    <t>2034-12</t>
  </si>
  <si>
    <t>2035-01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</si>
  <si>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</si>
  <si>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</si>
  <si>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</si>
  <si>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</si>
  <si>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</si>
  <si>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</si>
  <si>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</si>
  <si>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</si>
  <si>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2035-10</t>
  </si>
  <si>
    <t>2035-11</t>
  </si>
  <si>
    <t>2035-12</t>
  </si>
  <si>
    <t>2036-01</t>
  </si>
  <si>
    <t>ИТОГО ЗА ГОРИЗОНТ</t>
  </si>
  <si>
    <t>КЛЮЧЕВЫЕ ПОКАЗАТЕЛИ ПРОЕКТА</t>
  </si>
  <si>
    <t>Проект</t>
  </si>
  <si>
    <t>Дата начала</t>
  </si>
  <si>
    <t>ПОКАЗАТЕЛИ ЭФФЕКТИВНОСТИ</t>
  </si>
  <si>
    <t>NPV (чистая приведённая стоимость)</t>
  </si>
  <si>
    <t>IRR (годовая внутренняя норма доходности)</t>
  </si>
  <si>
    <t>%</t>
  </si>
  <si>
    <t>ROI (рентабельность СС за горизонт)</t>
  </si>
  <si>
    <t>Срок окупаемости</t>
  </si>
  <si>
    <t>Ставка дисконтирования (ЦБ)</t>
  </si>
  <si>
    <t>ФИНАНСОВЫЕ ИТОГИ ЗА ГОРИЗОНТ</t>
  </si>
  <si>
    <t>Суммарная выручка (с НДС)</t>
  </si>
  <si>
    <t>Суммарная выручка (без НДС)</t>
  </si>
  <si>
    <t>Чистая прибыль (суммарно)</t>
  </si>
  <si>
    <t>НАЛОГИ И ПЛАТЕЖИ ЗА ГОРИЗОНТ</t>
  </si>
  <si>
    <t>НДС к уплате (выплаты в бюджет)</t>
  </si>
  <si>
    <t>Возврат НДС из строительства</t>
  </si>
  <si>
    <t>Налог на имущество</t>
  </si>
  <si>
    <t>Проценты по кредиту</t>
  </si>
  <si>
    <t>СТРУКТУРА ФИНАНСИРОВАНИЯ</t>
  </si>
  <si>
    <t>Кредит</t>
  </si>
  <si>
    <t>Итого инвестиций</t>
  </si>
  <si>
    <t>АНАЛИЗ ЧУВСТВИТЕЛЬНОСТИ</t>
  </si>
  <si>
    <t>NPV базовый</t>
  </si>
  <si>
    <t>NPV оптимист</t>
  </si>
  <si>
    <t>Параметр</t>
  </si>
  <si>
    <t>Пессимист (−20%)</t>
  </si>
  <si>
    <t>Базовый</t>
  </si>
  <si>
    <t>Оптимист (+20%)</t>
  </si>
  <si>
    <t>Влияние на проект</t>
  </si>
  <si>
    <t>Себестоимость строительства, руб.</t>
  </si>
  <si>
    <t>Рост затрат → ↓ NPV</t>
  </si>
  <si>
    <t>Арендная ставка, руб./кв.м./мес.</t>
  </si>
  <si>
    <t>Снижение ставки → ↓ выручки</t>
  </si>
  <si>
    <t>Рост ставки → ↑ процентов</t>
  </si>
  <si>
    <t>Инфляция (индексация аренды)</t>
  </si>
  <si>
    <t>Рост инфляции → ↑ выручки</t>
  </si>
  <si>
    <t>Ставка ЦБ (дисконтирование)</t>
  </si>
  <si>
    <t>Рост ставки → ↓ NPV</t>
  </si>
  <si>
    <t>БАЗОВЫЕ KPI (ссылки на ИТОГ)</t>
  </si>
  <si>
    <t>NPV</t>
  </si>
  <si>
    <t>IRR</t>
  </si>
  <si>
    <t>ROI</t>
  </si>
  <si>
    <t>Чтобы оценить конкретный сценарий — измените параметр на листе «Параметры»,</t>
  </si>
  <si>
    <t>Excel пересчитает модель и KPI на листе «ИТОГ».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</si>
</sst>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sz val="11"/>
      <color rgb="FF7F7F7F"/>
      <name val="Calibri"/>
    </font>
    <font>
      <b/>
      <sz val="11"/>
      <color rgb="FF000000"/>
      <name val="Calibri"/>
    </font>
    <font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BDD7EE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/>
    <xf numFmtId="0" fontId="3" fillId="3" borderId="2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3" fontId="3" fillId="3" borderId="2" xfId="0" applyNumberFormat="1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1" fontId="3" fillId="3" borderId="2" xfId="0" applyNumberFormat="1" applyFont="1" applyFill="1" applyBorder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3" fontId="2" fillId="5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5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3" fontId="2" fillId="6" borderId="2" xfId="0" applyNumberFormat="1" applyFont="1" applyFill="1" applyBorder="1" applyAlignment="1">
      <alignment horizontal="right" vertical="center"/>
    </xf>
    <xf numFmtId="10" fontId="2" fillId="6" borderId="2" xfId="0" applyNumberFormat="1" applyFont="1" applyFill="1" applyBorder="1" applyAlignment="1">
      <alignment horizontal="right" vertical="center"/>
    </xf>
    <xf numFmtId="49" fontId="2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4" fillId="4" borderId="0" xfId="0" applyFont="1" applyFill="1" applyAlignment="1">
      <alignment horizontal="left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12" sqref="C12"/>
    </sheetView>
  </sheetViews>
  <sheetFormatPr defaultRowHeight="15" x14ac:dyDescent="0.25"/>
  <cols>
    <col min="1" max="1" width="40" customWidth="1"/>
    <col min="2" max="2" width="22" customWidth="1"/>
    <col min="3" max="3" width="20" customWidth="1"/>
  </cols>
  <sheetData>
    <row r="1" spans="1:3" ht="24" customHeight="1" x14ac:dyDescent="0.25">
      <c r="A1" s="27" t="s">
        <v>0</v>
      </c>
      <c r="B1" s="28"/>
      <c r="C1" s="29"/>
    </row>
    <row r="2" spans="1:3" x14ac:dyDescent="0.25">
      <c r="A2" s="2" t="s">
        <v>1</v>
      </c>
      <c r="B2" s="3"/>
      <c r="C2" s="4" t="s">
        <v>2</v>
      </c>
    </row>
    <row r="3" spans="1:3" x14ac:dyDescent="0.25">
      <c r="A3" s="2" t="s">
        <v>3</v>
      </c>
      <c r="B3" s="3" t="s">
        <v>4</v>
      </c>
      <c r="C3" s="4" t="s">
        <v>5</v>
      </c>
    </row>
    <row r="4" spans="1:3" x14ac:dyDescent="0.25">
      <c r="A4" s="5" t="s">
        <v>6</v>
      </c>
      <c r="B4" s="5" t="s">
        <v>7</v>
      </c>
      <c r="C4" s="6">
        <v>5000</v>
      </c>
    </row>
    <row r="5" spans="1:3" x14ac:dyDescent="0.25">
      <c r="A5" s="5" t="s">
        <v>8</v>
      </c>
      <c r="B5" s="5" t="s">
        <v>9</v>
      </c>
      <c r="C5" s="6">
        <v>200000000</v>
      </c>
    </row>
    <row r="6" spans="1:3" x14ac:dyDescent="0.25">
      <c r="A6" s="5" t="s">
        <v>10</v>
      </c>
      <c r="B6" s="5"/>
      <c r="C6" s="7">
        <v>0.7</v>
      </c>
    </row>
    <row r="7" spans="1:3" x14ac:dyDescent="0.25">
      <c r="A7" s="5" t="s">
        <v>11</v>
      </c>
      <c r="B7" s="5" t="s">
        <v>12</v>
      </c>
      <c r="C7" s="6">
        <f>1100*(1+C13)</f>
        <v>1342</v>
      </c>
    </row>
    <row r="8" spans="1:3" x14ac:dyDescent="0.25">
      <c r="A8" s="5" t="s">
        <v>13</v>
      </c>
      <c r="B8" s="5"/>
      <c r="C8" s="7">
        <v>7.0000000000000007E-2</v>
      </c>
    </row>
    <row r="9" spans="1:3" x14ac:dyDescent="0.25">
      <c r="A9" s="5" t="s">
        <v>14</v>
      </c>
      <c r="B9" s="5"/>
      <c r="C9" s="7">
        <v>0.14499999999999999</v>
      </c>
    </row>
    <row r="10" spans="1:3" x14ac:dyDescent="0.25">
      <c r="A10" s="5" t="s">
        <v>15</v>
      </c>
      <c r="B10" s="5"/>
      <c r="C10" s="7">
        <v>0.2</v>
      </c>
    </row>
    <row r="11" spans="1:3" x14ac:dyDescent="0.25">
      <c r="A11" s="5" t="s">
        <v>16</v>
      </c>
      <c r="B11" s="5" t="s">
        <v>17</v>
      </c>
      <c r="C11" s="8">
        <v>12</v>
      </c>
    </row>
    <row r="12" spans="1:3" x14ac:dyDescent="0.25">
      <c r="A12" s="5" t="s">
        <v>18</v>
      </c>
      <c r="B12" s="5" t="s">
        <v>17</v>
      </c>
      <c r="C12" s="8">
        <v>120</v>
      </c>
    </row>
    <row r="13" spans="1:3" x14ac:dyDescent="0.25">
      <c r="A13" s="5" t="s">
        <v>19</v>
      </c>
      <c r="B13" s="5"/>
      <c r="C13" s="7">
        <v>0.22</v>
      </c>
    </row>
    <row r="14" spans="1:3" x14ac:dyDescent="0.25">
      <c r="A14" s="5" t="s">
        <v>20</v>
      </c>
      <c r="B14" s="5"/>
      <c r="C14" s="7">
        <v>0.2</v>
      </c>
    </row>
    <row r="15" spans="1:3" x14ac:dyDescent="0.25">
      <c r="A15" s="5" t="s">
        <v>21</v>
      </c>
      <c r="B15" s="5" t="s">
        <v>22</v>
      </c>
      <c r="C15" s="7">
        <v>2.1999999999999999E-2</v>
      </c>
    </row>
    <row r="16" spans="1:3" x14ac:dyDescent="0.25">
      <c r="A16" s="5" t="s">
        <v>23</v>
      </c>
      <c r="B16" s="5" t="s">
        <v>24</v>
      </c>
      <c r="C16" s="7">
        <v>0.1</v>
      </c>
    </row>
    <row r="17" spans="1:3" x14ac:dyDescent="0.25">
      <c r="A17" s="5" t="s">
        <v>25</v>
      </c>
      <c r="B17" s="5" t="s">
        <v>26</v>
      </c>
      <c r="C17" s="8">
        <v>20</v>
      </c>
    </row>
    <row r="18" spans="1:3" x14ac:dyDescent="0.25">
      <c r="A18" s="27" t="s">
        <v>27</v>
      </c>
      <c r="B18" s="28"/>
      <c r="C18" s="29"/>
    </row>
    <row r="19" spans="1:3" x14ac:dyDescent="0.25">
      <c r="A19" s="30" t="s">
        <v>28</v>
      </c>
      <c r="B19" s="31"/>
      <c r="C19" s="31"/>
    </row>
    <row r="20" spans="1:3" x14ac:dyDescent="0.25">
      <c r="A20" s="10" t="s">
        <v>29</v>
      </c>
      <c r="B20" s="10" t="s">
        <v>9</v>
      </c>
      <c r="C20" s="11">
        <f>C5/(1+C13)</f>
        <v>163934426.22950819</v>
      </c>
    </row>
    <row r="21" spans="1:3" x14ac:dyDescent="0.25">
      <c r="A21" s="10" t="s">
        <v>30</v>
      </c>
      <c r="B21" s="10" t="s">
        <v>9</v>
      </c>
      <c r="C21" s="11">
        <f>C5-C20</f>
        <v>36065573.770491809</v>
      </c>
    </row>
    <row r="22" spans="1:3" x14ac:dyDescent="0.25">
      <c r="A22" s="10" t="s">
        <v>31</v>
      </c>
      <c r="B22" s="10" t="s">
        <v>9</v>
      </c>
      <c r="C22" s="11">
        <f>C5*C6</f>
        <v>140000000</v>
      </c>
    </row>
    <row r="23" spans="1:3" x14ac:dyDescent="0.25">
      <c r="A23" s="10" t="s">
        <v>32</v>
      </c>
      <c r="B23" s="10" t="s">
        <v>9</v>
      </c>
      <c r="C23" s="11">
        <f>C5*(1-C6)</f>
        <v>60000000.000000007</v>
      </c>
    </row>
    <row r="24" spans="1:3" x14ac:dyDescent="0.25">
      <c r="A24" s="10" t="s">
        <v>33</v>
      </c>
      <c r="B24" s="10" t="s">
        <v>9</v>
      </c>
      <c r="C24" s="11">
        <f>C5/C4</f>
        <v>40000</v>
      </c>
    </row>
    <row r="25" spans="1:3" x14ac:dyDescent="0.25">
      <c r="A25" s="10" t="s">
        <v>34</v>
      </c>
      <c r="B25" s="10" t="s">
        <v>17</v>
      </c>
      <c r="C25" s="11">
        <f>C12-C11</f>
        <v>108</v>
      </c>
    </row>
    <row r="26" spans="1:3" x14ac:dyDescent="0.25">
      <c r="A26" s="10" t="s">
        <v>35</v>
      </c>
      <c r="B26" s="10" t="s">
        <v>36</v>
      </c>
      <c r="C26" s="11">
        <f>-PMT(C10/12,C12-C11,C5*C6)</f>
        <v>2803710.2352448287</v>
      </c>
    </row>
    <row r="27" spans="1:3" x14ac:dyDescent="0.25">
      <c r="A27" s="10" t="s">
        <v>37</v>
      </c>
      <c r="B27" s="10" t="s">
        <v>36</v>
      </c>
      <c r="C27" s="11">
        <f>C20/(C17*12)</f>
        <v>683060.10928961751</v>
      </c>
    </row>
    <row r="28" spans="1:3" x14ac:dyDescent="0.25">
      <c r="A28" s="10" t="s">
        <v>38</v>
      </c>
      <c r="B28" s="10" t="s">
        <v>36</v>
      </c>
      <c r="C28" s="11">
        <f>(C5-C5/(1+C13))/3</f>
        <v>12021857.923497269</v>
      </c>
    </row>
  </sheetData>
  <mergeCells count="3">
    <mergeCell ref="A1:C1"/>
    <mergeCell ref="A18:C18"/>
    <mergeCell ref="A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0" customWidth="1"/>
    <col min="3" max="5" width="16" customWidth="1"/>
    <col min="6" max="9" width="14" customWidth="1"/>
    <col min="10" max="10" width="13" customWidth="1"/>
    <col min="11" max="14" width="14" customWidth="1"/>
    <col min="15" max="16" width="16" customWidth="1"/>
    <col min="17" max="18" width="13" customWidth="1"/>
    <col min="19" max="19" width="17" customWidth="1"/>
    <col min="20" max="20" width="16" customWidth="1"/>
    <col min="21" max="22" width="14" customWidth="1"/>
  </cols>
  <sheetData>
    <row r="1" spans="1:22" ht="30" customHeight="1" x14ac:dyDescent="0.25">
      <c r="A1" s="12" t="s">
        <v>39</v>
      </c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12" t="s">
        <v>45</v>
      </c>
      <c r="H1" s="12" t="s">
        <v>46</v>
      </c>
      <c r="I1" s="12" t="s">
        <v>47</v>
      </c>
      <c r="J1" s="12" t="s">
        <v>48</v>
      </c>
      <c r="K1" s="12" t="s">
        <v>49</v>
      </c>
      <c r="L1" s="12" t="s">
        <v>50</v>
      </c>
      <c r="M1" s="12" t="s">
        <v>51</v>
      </c>
      <c r="N1" s="12" t="s">
        <v>52</v>
      </c>
      <c r="O1" s="12" t="s">
        <v>53</v>
      </c>
      <c r="P1" s="12" t="s">
        <v>54</v>
      </c>
      <c r="Q1" s="12" t="s">
        <v>55</v>
      </c>
      <c r="R1" s="12" t="s">
        <v>56</v>
      </c>
      <c r="S1" s="12" t="s">
        <v>57</v>
      </c>
      <c r="T1" s="12" t="s">
        <v>58</v>
      </c>
      <c r="U1" s="12" t="s">
        <v>59</v>
      </c>
      <c r="V1" s="12" t="s">
        <v>60</v>
      </c>
    </row>
    <row r="2" spans="1:22" x14ac:dyDescent="0.25">
      <c r="A2" s="13">
        <v>1</v>
      </c>
      <c r="B2" s="13" t="s">
        <v>61</v>
      </c>
      <c r="C2" s="14" t="s">
        <v>62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f>T2*Параметры!$C$10/12</f>
        <v>194444.44444444447</v>
      </c>
      <c r="N2" s="15">
        <f t="shared" ref="N2:N7" si="0">-M2</f>
        <v>-194444.44444444447</v>
      </c>
      <c r="O2" s="15">
        <v>0</v>
      </c>
      <c r="P2" s="15">
        <v>0</v>
      </c>
      <c r="Q2" s="15">
        <f>Параметры!$C$5/Параметры!$C$11</f>
        <v>16666666.666666666</v>
      </c>
      <c r="R2" s="15">
        <f>Параметры!$C$22/Параметры!$C$11</f>
        <v>11666666.666666666</v>
      </c>
      <c r="S2" s="15">
        <v>0</v>
      </c>
      <c r="T2" s="15">
        <f>Параметры!$C$22/Параметры!$C$11*A2</f>
        <v>11666666.666666666</v>
      </c>
      <c r="U2" s="15">
        <f>-(Параметры!$C$23/Параметры!$C$11+M2)</f>
        <v>-5194444.444444445</v>
      </c>
      <c r="V2" s="15">
        <f>U2</f>
        <v>-5194444.444444445</v>
      </c>
    </row>
    <row r="3" spans="1:22" x14ac:dyDescent="0.25">
      <c r="A3" s="16">
        <v>2</v>
      </c>
      <c r="B3" s="16" t="s">
        <v>63</v>
      </c>
      <c r="C3" s="17" t="s">
        <v>62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f>T3*Параметры!$C$10/12</f>
        <v>388888.88888888893</v>
      </c>
      <c r="N3" s="11">
        <f t="shared" si="0"/>
        <v>-388888.88888888893</v>
      </c>
      <c r="O3" s="11">
        <v>0</v>
      </c>
      <c r="P3" s="11">
        <v>0</v>
      </c>
      <c r="Q3" s="11">
        <f>Параметры!$C$5/Параметры!$C$11</f>
        <v>16666666.666666666</v>
      </c>
      <c r="R3" s="11">
        <f>Параметры!$C$22/Параметры!$C$11</f>
        <v>11666666.666666666</v>
      </c>
      <c r="S3" s="11">
        <v>0</v>
      </c>
      <c r="T3" s="11">
        <f>Параметры!$C$22/Параметры!$C$11*A3</f>
        <v>23333333.333333332</v>
      </c>
      <c r="U3" s="11">
        <f>-(Параметры!$C$23/Параметры!$C$11+M3)</f>
        <v>-5388888.8888888899</v>
      </c>
      <c r="V3" s="11">
        <f t="shared" ref="V3:V34" si="1">V2+U3</f>
        <v>-10583333.333333336</v>
      </c>
    </row>
    <row r="4" spans="1:22" x14ac:dyDescent="0.25">
      <c r="A4" s="13">
        <v>3</v>
      </c>
      <c r="B4" s="13" t="s">
        <v>64</v>
      </c>
      <c r="C4" s="14" t="s">
        <v>62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f>T4*Параметры!$C$10/12</f>
        <v>583333.33333333337</v>
      </c>
      <c r="N4" s="15">
        <f t="shared" si="0"/>
        <v>-583333.33333333337</v>
      </c>
      <c r="O4" s="15">
        <v>0</v>
      </c>
      <c r="P4" s="15">
        <v>0</v>
      </c>
      <c r="Q4" s="15">
        <f>Параметры!$C$5/Параметры!$C$11</f>
        <v>16666666.666666666</v>
      </c>
      <c r="R4" s="15">
        <f>Параметры!$C$22/Параметры!$C$11</f>
        <v>11666666.666666666</v>
      </c>
      <c r="S4" s="15">
        <v>0</v>
      </c>
      <c r="T4" s="15">
        <f>Параметры!$C$22/Параметры!$C$11*A4</f>
        <v>35000000</v>
      </c>
      <c r="U4" s="15">
        <f>-(Параметры!$C$23/Параметры!$C$11+M4)</f>
        <v>-5583333.333333334</v>
      </c>
      <c r="V4" s="15">
        <f t="shared" si="1"/>
        <v>-16166666.66666667</v>
      </c>
    </row>
    <row r="5" spans="1:22" x14ac:dyDescent="0.25">
      <c r="A5" s="16">
        <v>4</v>
      </c>
      <c r="B5" s="16" t="s">
        <v>65</v>
      </c>
      <c r="C5" s="17" t="s">
        <v>62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f>T5*Параметры!$C$10/12</f>
        <v>777777.77777777787</v>
      </c>
      <c r="N5" s="11">
        <f t="shared" si="0"/>
        <v>-777777.77777777787</v>
      </c>
      <c r="O5" s="11">
        <v>0</v>
      </c>
      <c r="P5" s="11">
        <v>0</v>
      </c>
      <c r="Q5" s="11">
        <f>Параметры!$C$5/Параметры!$C$11</f>
        <v>16666666.666666666</v>
      </c>
      <c r="R5" s="11">
        <f>Параметры!$C$22/Параметры!$C$11</f>
        <v>11666666.666666666</v>
      </c>
      <c r="S5" s="11">
        <v>0</v>
      </c>
      <c r="T5" s="11">
        <f>Параметры!$C$22/Параметры!$C$11*A5</f>
        <v>46666666.666666664</v>
      </c>
      <c r="U5" s="11">
        <f>-(Параметры!$C$23/Параметры!$C$11+M5)</f>
        <v>-5777777.7777777789</v>
      </c>
      <c r="V5" s="11">
        <f t="shared" si="1"/>
        <v>-21944444.444444448</v>
      </c>
    </row>
    <row r="6" spans="1:22" x14ac:dyDescent="0.25">
      <c r="A6" s="13">
        <v>5</v>
      </c>
      <c r="B6" s="13" t="s">
        <v>66</v>
      </c>
      <c r="C6" s="14" t="s">
        <v>62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f>T6*Параметры!$C$10/12</f>
        <v>972222.22222222213</v>
      </c>
      <c r="N6" s="15">
        <f t="shared" si="0"/>
        <v>-972222.22222222213</v>
      </c>
      <c r="O6" s="15">
        <v>0</v>
      </c>
      <c r="P6" s="15">
        <v>0</v>
      </c>
      <c r="Q6" s="15">
        <f>Параметры!$C$5/Параметры!$C$11</f>
        <v>16666666.666666666</v>
      </c>
      <c r="R6" s="15">
        <f>Параметры!$C$22/Параметры!$C$11</f>
        <v>11666666.666666666</v>
      </c>
      <c r="S6" s="15">
        <v>0</v>
      </c>
      <c r="T6" s="15">
        <f>Параметры!$C$22/Параметры!$C$11*A6</f>
        <v>58333333.333333328</v>
      </c>
      <c r="U6" s="15">
        <f>-(Параметры!$C$23/Параметры!$C$11+M6)</f>
        <v>-5972222.2222222229</v>
      </c>
      <c r="V6" s="15">
        <f t="shared" si="1"/>
        <v>-27916666.666666672</v>
      </c>
    </row>
    <row r="7" spans="1:22" x14ac:dyDescent="0.25">
      <c r="A7" s="16">
        <v>6</v>
      </c>
      <c r="B7" s="16" t="s">
        <v>5</v>
      </c>
      <c r="C7" s="17" t="s">
        <v>62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f>T7*Параметры!$C$10/12</f>
        <v>1166666.6666666667</v>
      </c>
      <c r="N7" s="11">
        <f t="shared" si="0"/>
        <v>-1166666.6666666667</v>
      </c>
      <c r="O7" s="11">
        <v>0</v>
      </c>
      <c r="P7" s="11">
        <v>0</v>
      </c>
      <c r="Q7" s="11">
        <f>Параметры!$C$5/Параметры!$C$11</f>
        <v>16666666.666666666</v>
      </c>
      <c r="R7" s="11">
        <f>Параметры!$C$22/Параметры!$C$11</f>
        <v>11666666.666666666</v>
      </c>
      <c r="S7" s="11">
        <v>0</v>
      </c>
      <c r="T7" s="11">
        <f>Параметры!$C$22/Параметры!$C$11*A7</f>
        <v>70000000</v>
      </c>
      <c r="U7" s="11">
        <f>-(Параметры!$C$23/Параметры!$C$11+M7)</f>
        <v>-6166666.6666666679</v>
      </c>
      <c r="V7" s="11">
        <f t="shared" si="1"/>
        <v>-34083333.333333343</v>
      </c>
    </row>
    <row r="8" spans="1:22" x14ac:dyDescent="0.25">
      <c r="A8" s="13">
        <v>7</v>
      </c>
      <c r="B8" s="13" t="s">
        <v>67</v>
      </c>
      <c r="C8" s="14" t="s">
        <v>68</v>
      </c>
      <c r="D8" s="15">
        <f>Параметры!$C$4*Параметры!$C$7*(1+Параметры!$C$8)^INT((A8-Параметры!$C$11-1)/12)</f>
        <v>6271028.0373831773</v>
      </c>
      <c r="E8" s="15">
        <f>D8/(1+Параметры!$C$13)</f>
        <v>5140186.9158878503</v>
      </c>
      <c r="F8" s="15">
        <f t="shared" ref="F8:F39" si="2">D8-E8</f>
        <v>1130841.121495327</v>
      </c>
      <c r="G8" s="15">
        <f>IF(AND(A8&gt;Параметры!$C$11,A8&lt;=Параметры!$C$11+3),Параметры!$C$28,0)</f>
        <v>0</v>
      </c>
      <c r="H8" s="15">
        <f t="shared" ref="H8:H39" si="3">F8-G8</f>
        <v>1130841.121495327</v>
      </c>
      <c r="I8" s="15">
        <f>E8*Параметры!$C$16</f>
        <v>514018.69158878503</v>
      </c>
      <c r="J8" s="15">
        <f>Параметры!$C$27</f>
        <v>683060.10928961751</v>
      </c>
      <c r="K8" s="15">
        <f>MAX(0,Параметры!$C$20-Параметры!$C$27*MAX(0,A8-Параметры!$C$11-1))*Параметры!$C$15/12</f>
        <v>300546.44808743167</v>
      </c>
      <c r="L8" s="15">
        <f t="shared" ref="L8:L39" si="4">E8-I8-J8-K8</f>
        <v>3642561.666922017</v>
      </c>
      <c r="M8" s="15">
        <f>T7*Параметры!$C$10/12</f>
        <v>1166666.6666666667</v>
      </c>
      <c r="N8" s="15">
        <f t="shared" ref="N8:N39" si="5">L8-M8</f>
        <v>2475895.00025535</v>
      </c>
      <c r="O8" s="15">
        <f>MAX(0,N8*Параметры!$C$14)</f>
        <v>495179.00005107</v>
      </c>
      <c r="P8" s="15">
        <f t="shared" ref="P8:P39" si="6">N8-O8</f>
        <v>1980716.00020428</v>
      </c>
      <c r="Q8" s="15">
        <v>0</v>
      </c>
      <c r="R8" s="15">
        <v>0</v>
      </c>
      <c r="S8" s="15">
        <f>MAX(0,MIN(Параметры!$C$26-M8,T7))</f>
        <v>1637043.568578162</v>
      </c>
      <c r="T8" s="15">
        <f t="shared" ref="T8:T39" si="7">MAX(0,T7-S8)</f>
        <v>68362956.431421831</v>
      </c>
      <c r="U8" s="15">
        <f t="shared" ref="U8:U39" si="8">P8+J8-S8-H8</f>
        <v>-104108.58057959168</v>
      </c>
      <c r="V8" s="15">
        <f t="shared" si="1"/>
        <v>-34187441.913912937</v>
      </c>
    </row>
    <row r="9" spans="1:22" x14ac:dyDescent="0.25">
      <c r="A9" s="16">
        <v>8</v>
      </c>
      <c r="B9" s="16" t="s">
        <v>69</v>
      </c>
      <c r="C9" s="17" t="s">
        <v>68</v>
      </c>
      <c r="D9" s="11">
        <f>Параметры!$C$4*Параметры!$C$7*(1+Параметры!$C$8)^INT((A9-Параметры!$C$11-1)/12)</f>
        <v>6271028.0373831773</v>
      </c>
      <c r="E9" s="11">
        <f>D9/(1+Параметры!$C$13)</f>
        <v>5140186.9158878503</v>
      </c>
      <c r="F9" s="11">
        <f t="shared" si="2"/>
        <v>1130841.121495327</v>
      </c>
      <c r="G9" s="11">
        <f>IF(AND(A9&gt;Параметры!$C$11,A9&lt;=Параметры!$C$11+3),Параметры!$C$28,0)</f>
        <v>0</v>
      </c>
      <c r="H9" s="11">
        <f t="shared" si="3"/>
        <v>1130841.121495327</v>
      </c>
      <c r="I9" s="11">
        <f>E9*Параметры!$C$16</f>
        <v>514018.69158878503</v>
      </c>
      <c r="J9" s="11">
        <f>Параметры!$C$27</f>
        <v>683060.10928961751</v>
      </c>
      <c r="K9" s="11">
        <f>MAX(0,Параметры!$C$20-Параметры!$C$27*MAX(0,A9-Параметры!$C$11-1))*Параметры!$C$15/12</f>
        <v>300546.44808743167</v>
      </c>
      <c r="L9" s="11">
        <f t="shared" si="4"/>
        <v>3642561.666922017</v>
      </c>
      <c r="M9" s="11">
        <f>T8*Параметры!$C$10/12</f>
        <v>1139382.6071903638</v>
      </c>
      <c r="N9" s="11">
        <f t="shared" si="5"/>
        <v>2503179.059731653</v>
      </c>
      <c r="O9" s="11">
        <f>MAX(0,N9*Параметры!$C$14)</f>
        <v>500635.81194633059</v>
      </c>
      <c r="P9" s="11">
        <f t="shared" si="6"/>
        <v>2002543.2477853224</v>
      </c>
      <c r="Q9" s="11">
        <v>0</v>
      </c>
      <c r="R9" s="11">
        <v>0</v>
      </c>
      <c r="S9" s="11">
        <f>MAX(0,MIN(Параметры!$C$26-M9,T8))</f>
        <v>1664327.6280544649</v>
      </c>
      <c r="T9" s="11">
        <f t="shared" si="7"/>
        <v>66698628.803367369</v>
      </c>
      <c r="U9" s="11">
        <f t="shared" si="8"/>
        <v>-109565.39247485227</v>
      </c>
      <c r="V9" s="11">
        <f t="shared" si="1"/>
        <v>-34297007.30638779</v>
      </c>
    </row>
    <row r="10" spans="1:22" x14ac:dyDescent="0.25">
      <c r="A10" s="13">
        <v>9</v>
      </c>
      <c r="B10" s="13" t="s">
        <v>70</v>
      </c>
      <c r="C10" s="14" t="s">
        <v>68</v>
      </c>
      <c r="D10" s="15">
        <f>Параметры!$C$4*Параметры!$C$7*(1+Параметры!$C$8)^INT((A10-Параметры!$C$11-1)/12)</f>
        <v>6271028.0373831773</v>
      </c>
      <c r="E10" s="15">
        <f>D10/(1+Параметры!$C$13)</f>
        <v>5140186.9158878503</v>
      </c>
      <c r="F10" s="15">
        <f t="shared" si="2"/>
        <v>1130841.121495327</v>
      </c>
      <c r="G10" s="15">
        <f>IF(AND(A10&gt;Параметры!$C$11,A10&lt;=Параметры!$C$11+3),Параметры!$C$28,0)</f>
        <v>0</v>
      </c>
      <c r="H10" s="15">
        <f t="shared" si="3"/>
        <v>1130841.121495327</v>
      </c>
      <c r="I10" s="15">
        <f>E10*Параметры!$C$16</f>
        <v>514018.69158878503</v>
      </c>
      <c r="J10" s="15">
        <f>Параметры!$C$27</f>
        <v>683060.10928961751</v>
      </c>
      <c r="K10" s="15">
        <f>MAX(0,Параметры!$C$20-Параметры!$C$27*MAX(0,A10-Параметры!$C$11-1))*Параметры!$C$15/12</f>
        <v>300546.44808743167</v>
      </c>
      <c r="L10" s="15">
        <f t="shared" si="4"/>
        <v>3642561.666922017</v>
      </c>
      <c r="M10" s="15">
        <f>T9*Параметры!$C$10/12</f>
        <v>1111643.8133894561</v>
      </c>
      <c r="N10" s="15">
        <f t="shared" si="5"/>
        <v>2530917.8535325611</v>
      </c>
      <c r="O10" s="15">
        <f>MAX(0,N10*Параметры!$C$14)</f>
        <v>506183.57070651226</v>
      </c>
      <c r="P10" s="15">
        <f t="shared" si="6"/>
        <v>2024734.2828260488</v>
      </c>
      <c r="Q10" s="15">
        <v>0</v>
      </c>
      <c r="R10" s="15">
        <v>0</v>
      </c>
      <c r="S10" s="15">
        <f>MAX(0,MIN(Параметры!$C$26-M10,T9))</f>
        <v>1692066.4218553726</v>
      </c>
      <c r="T10" s="15">
        <f t="shared" si="7"/>
        <v>65006562.381511994</v>
      </c>
      <c r="U10" s="15">
        <f t="shared" si="8"/>
        <v>-115113.15123503306</v>
      </c>
      <c r="V10" s="15">
        <f t="shared" si="1"/>
        <v>-34412120.457622826</v>
      </c>
    </row>
    <row r="11" spans="1:22" x14ac:dyDescent="0.25">
      <c r="A11" s="16">
        <v>10</v>
      </c>
      <c r="B11" s="16" t="s">
        <v>71</v>
      </c>
      <c r="C11" s="17" t="s">
        <v>68</v>
      </c>
      <c r="D11" s="11">
        <f>Параметры!$C$4*Параметры!$C$7*(1+Параметры!$C$8)^INT((A11-Параметры!$C$11-1)/12)</f>
        <v>6271028.0373831773</v>
      </c>
      <c r="E11" s="11">
        <f>D11/(1+Параметры!$C$13)</f>
        <v>5140186.9158878503</v>
      </c>
      <c r="F11" s="11">
        <f t="shared" si="2"/>
        <v>1130841.121495327</v>
      </c>
      <c r="G11" s="11">
        <f>IF(AND(A11&gt;Параметры!$C$11,A11&lt;=Параметры!$C$11+3),Параметры!$C$28,0)</f>
        <v>0</v>
      </c>
      <c r="H11" s="11">
        <f t="shared" si="3"/>
        <v>1130841.121495327</v>
      </c>
      <c r="I11" s="11">
        <f>E11*Параметры!$C$16</f>
        <v>514018.69158878503</v>
      </c>
      <c r="J11" s="11">
        <f>Параметры!$C$27</f>
        <v>683060.10928961751</v>
      </c>
      <c r="K11" s="11">
        <f>MAX(0,Параметры!$C$20-Параметры!$C$27*MAX(0,A11-Параметры!$C$11-1))*Параметры!$C$15/12</f>
        <v>300546.44808743167</v>
      </c>
      <c r="L11" s="11">
        <f t="shared" si="4"/>
        <v>3642561.666922017</v>
      </c>
      <c r="M11" s="11">
        <f>T10*Параметры!$C$10/12</f>
        <v>1083442.7063585334</v>
      </c>
      <c r="N11" s="11">
        <f t="shared" si="5"/>
        <v>2559118.9605634836</v>
      </c>
      <c r="O11" s="11">
        <f>MAX(0,N11*Параметры!$C$14)</f>
        <v>511823.79211269674</v>
      </c>
      <c r="P11" s="11">
        <f t="shared" si="6"/>
        <v>2047295.168450787</v>
      </c>
      <c r="Q11" s="11">
        <v>0</v>
      </c>
      <c r="R11" s="11">
        <v>0</v>
      </c>
      <c r="S11" s="11">
        <f>MAX(0,MIN(Параметры!$C$26-M11,T10))</f>
        <v>1720267.5288862954</v>
      </c>
      <c r="T11" s="11">
        <f t="shared" si="7"/>
        <v>63286294.852625698</v>
      </c>
      <c r="U11" s="11">
        <f t="shared" si="8"/>
        <v>-120753.37264121789</v>
      </c>
      <c r="V11" s="11">
        <f t="shared" si="1"/>
        <v>-34532873.830264047</v>
      </c>
    </row>
    <row r="12" spans="1:22" x14ac:dyDescent="0.25">
      <c r="A12" s="13">
        <v>11</v>
      </c>
      <c r="B12" s="13" t="s">
        <v>72</v>
      </c>
      <c r="C12" s="14" t="s">
        <v>68</v>
      </c>
      <c r="D12" s="15">
        <f>Параметры!$C$4*Параметры!$C$7*(1+Параметры!$C$8)^INT((A12-Параметры!$C$11-1)/12)</f>
        <v>6271028.0373831773</v>
      </c>
      <c r="E12" s="15">
        <f>D12/(1+Параметры!$C$13)</f>
        <v>5140186.9158878503</v>
      </c>
      <c r="F12" s="15">
        <f t="shared" si="2"/>
        <v>1130841.121495327</v>
      </c>
      <c r="G12" s="15">
        <f>IF(AND(A12&gt;Параметры!$C$11,A12&lt;=Параметры!$C$11+3),Параметры!$C$28,0)</f>
        <v>0</v>
      </c>
      <c r="H12" s="15">
        <f t="shared" si="3"/>
        <v>1130841.121495327</v>
      </c>
      <c r="I12" s="15">
        <f>E12*Параметры!$C$16</f>
        <v>514018.69158878503</v>
      </c>
      <c r="J12" s="15">
        <f>Параметры!$C$27</f>
        <v>683060.10928961751</v>
      </c>
      <c r="K12" s="15">
        <f>MAX(0,Параметры!$C$20-Параметры!$C$27*MAX(0,A12-Параметры!$C$11-1))*Параметры!$C$15/12</f>
        <v>300546.44808743167</v>
      </c>
      <c r="L12" s="15">
        <f t="shared" si="4"/>
        <v>3642561.666922017</v>
      </c>
      <c r="M12" s="15">
        <f>T11*Параметры!$C$10/12</f>
        <v>1054771.580877095</v>
      </c>
      <c r="N12" s="15">
        <f t="shared" si="5"/>
        <v>2587790.086044922</v>
      </c>
      <c r="O12" s="15">
        <f>MAX(0,N12*Параметры!$C$14)</f>
        <v>517558.01720898441</v>
      </c>
      <c r="P12" s="15">
        <f t="shared" si="6"/>
        <v>2070232.0688359377</v>
      </c>
      <c r="Q12" s="15">
        <v>0</v>
      </c>
      <c r="R12" s="15">
        <v>0</v>
      </c>
      <c r="S12" s="15">
        <f>MAX(0,MIN(Параметры!$C$26-M12,T11))</f>
        <v>1748938.6543677337</v>
      </c>
      <c r="T12" s="15">
        <f t="shared" si="7"/>
        <v>61537356.198257968</v>
      </c>
      <c r="U12" s="15">
        <f t="shared" si="8"/>
        <v>-126487.59773750557</v>
      </c>
      <c r="V12" s="15">
        <f t="shared" si="1"/>
        <v>-34659361.428001553</v>
      </c>
    </row>
    <row r="13" spans="1:22" x14ac:dyDescent="0.25">
      <c r="A13" s="16">
        <v>12</v>
      </c>
      <c r="B13" s="16" t="s">
        <v>73</v>
      </c>
      <c r="C13" s="17" t="s">
        <v>68</v>
      </c>
      <c r="D13" s="11">
        <f>Параметры!$C$4*Параметры!$C$7*(1+Параметры!$C$8)^INT((A13-Параметры!$C$11-1)/12)</f>
        <v>6271028.0373831773</v>
      </c>
      <c r="E13" s="11">
        <f>D13/(1+Параметры!$C$13)</f>
        <v>5140186.9158878503</v>
      </c>
      <c r="F13" s="11">
        <f t="shared" si="2"/>
        <v>1130841.121495327</v>
      </c>
      <c r="G13" s="11">
        <f>IF(AND(A13&gt;Параметры!$C$11,A13&lt;=Параметры!$C$11+3),Параметры!$C$28,0)</f>
        <v>0</v>
      </c>
      <c r="H13" s="11">
        <f t="shared" si="3"/>
        <v>1130841.121495327</v>
      </c>
      <c r="I13" s="11">
        <f>E13*Параметры!$C$16</f>
        <v>514018.69158878503</v>
      </c>
      <c r="J13" s="11">
        <f>Параметры!$C$27</f>
        <v>683060.10928961751</v>
      </c>
      <c r="K13" s="11">
        <f>MAX(0,Параметры!$C$20-Параметры!$C$27*MAX(0,A13-Параметры!$C$11-1))*Параметры!$C$15/12</f>
        <v>300546.44808743167</v>
      </c>
      <c r="L13" s="11">
        <f t="shared" si="4"/>
        <v>3642561.666922017</v>
      </c>
      <c r="M13" s="11">
        <f>T12*Параметры!$C$10/12</f>
        <v>1025622.6033042995</v>
      </c>
      <c r="N13" s="11">
        <f t="shared" si="5"/>
        <v>2616939.0636177175</v>
      </c>
      <c r="O13" s="11">
        <f>MAX(0,N13*Параметры!$C$14)</f>
        <v>523387.81272354349</v>
      </c>
      <c r="P13" s="11">
        <f t="shared" si="6"/>
        <v>2093551.250894174</v>
      </c>
      <c r="Q13" s="11">
        <v>0</v>
      </c>
      <c r="R13" s="11">
        <v>0</v>
      </c>
      <c r="S13" s="11">
        <f>MAX(0,MIN(Параметры!$C$26-M13,T12))</f>
        <v>1778087.6319405292</v>
      </c>
      <c r="T13" s="11">
        <f t="shared" si="7"/>
        <v>59759268.566317439</v>
      </c>
      <c r="U13" s="11">
        <f t="shared" si="8"/>
        <v>-132317.39325206494</v>
      </c>
      <c r="V13" s="11">
        <f t="shared" si="1"/>
        <v>-34791678.82125362</v>
      </c>
    </row>
    <row r="14" spans="1:22" x14ac:dyDescent="0.25">
      <c r="A14" s="13">
        <v>13</v>
      </c>
      <c r="B14" s="13" t="s">
        <v>74</v>
      </c>
      <c r="C14" s="14" t="s">
        <v>68</v>
      </c>
      <c r="D14" s="15">
        <f>Параметры!$C$4*Параметры!$C$7*(1+Параметры!$C$8)^INT((A14-Параметры!$C$11-1)/12)</f>
        <v>6710000</v>
      </c>
      <c r="E14" s="15">
        <f>D14/(1+Параметры!$C$13)</f>
        <v>5500000</v>
      </c>
      <c r="F14" s="15">
        <f t="shared" si="2"/>
        <v>1210000</v>
      </c>
      <c r="G14" s="15">
        <f>IF(AND(A14&gt;Параметры!$C$11,A14&lt;=Параметры!$C$11+3),Параметры!$C$28,0)</f>
        <v>12021857.923497269</v>
      </c>
      <c r="H14" s="15">
        <f t="shared" si="3"/>
        <v>-10811857.923497269</v>
      </c>
      <c r="I14" s="15">
        <f>E14*Параметры!$C$16</f>
        <v>550000</v>
      </c>
      <c r="J14" s="15">
        <f>Параметры!$C$27</f>
        <v>683060.10928961751</v>
      </c>
      <c r="K14" s="15">
        <f>MAX(0,Параметры!$C$20-Параметры!$C$27*MAX(0,A14-Параметры!$C$11-1))*Параметры!$C$15/12</f>
        <v>300546.44808743167</v>
      </c>
      <c r="L14" s="15">
        <f t="shared" si="4"/>
        <v>3966393.4426229512</v>
      </c>
      <c r="M14" s="15">
        <f>T13*Параметры!$C$10/12</f>
        <v>995987.80943862407</v>
      </c>
      <c r="N14" s="15">
        <f t="shared" si="5"/>
        <v>2970405.6331843273</v>
      </c>
      <c r="O14" s="15">
        <f>MAX(0,N14*Параметры!$C$14)</f>
        <v>594081.12663686543</v>
      </c>
      <c r="P14" s="15">
        <f t="shared" si="6"/>
        <v>2376324.5065474617</v>
      </c>
      <c r="Q14" s="15">
        <v>0</v>
      </c>
      <c r="R14" s="15">
        <v>0</v>
      </c>
      <c r="S14" s="15">
        <f>MAX(0,MIN(Параметры!$C$26-M14,T13))</f>
        <v>1807722.4258062048</v>
      </c>
      <c r="T14" s="15">
        <f t="shared" si="7"/>
        <v>57951546.140511237</v>
      </c>
      <c r="U14" s="15">
        <f t="shared" si="8"/>
        <v>12063520.113528144</v>
      </c>
      <c r="V14" s="15">
        <f t="shared" si="1"/>
        <v>-22728158.707725476</v>
      </c>
    </row>
    <row r="15" spans="1:22" x14ac:dyDescent="0.25">
      <c r="A15" s="16">
        <v>14</v>
      </c>
      <c r="B15" s="16" t="s">
        <v>75</v>
      </c>
      <c r="C15" s="17" t="s">
        <v>68</v>
      </c>
      <c r="D15" s="11">
        <f>Параметры!$C$4*Параметры!$C$7*(1+Параметры!$C$8)^INT((A15-Параметры!$C$11-1)/12)</f>
        <v>6710000</v>
      </c>
      <c r="E15" s="11">
        <f>D15/(1+Параметры!$C$13)</f>
        <v>5500000</v>
      </c>
      <c r="F15" s="11">
        <f t="shared" si="2"/>
        <v>1210000</v>
      </c>
      <c r="G15" s="11">
        <f>IF(AND(A15&gt;Параметры!$C$11,A15&lt;=Параметры!$C$11+3),Параметры!$C$28,0)</f>
        <v>12021857.923497269</v>
      </c>
      <c r="H15" s="11">
        <f t="shared" si="3"/>
        <v>-10811857.923497269</v>
      </c>
      <c r="I15" s="11">
        <f>E15*Параметры!$C$16</f>
        <v>550000</v>
      </c>
      <c r="J15" s="11">
        <f>Параметры!$C$27</f>
        <v>683060.10928961751</v>
      </c>
      <c r="K15" s="11">
        <f>MAX(0,Параметры!$C$20-Параметры!$C$27*MAX(0,A15-Параметры!$C$11-1))*Параметры!$C$15/12</f>
        <v>299294.17122040072</v>
      </c>
      <c r="L15" s="11">
        <f t="shared" si="4"/>
        <v>3967645.7194899819</v>
      </c>
      <c r="M15" s="11">
        <f>T14*Параметры!$C$10/12</f>
        <v>965859.10234185401</v>
      </c>
      <c r="N15" s="11">
        <f t="shared" si="5"/>
        <v>3001786.6171481279</v>
      </c>
      <c r="O15" s="11">
        <f>MAX(0,N15*Параметры!$C$14)</f>
        <v>600357.3234296256</v>
      </c>
      <c r="P15" s="11">
        <f t="shared" si="6"/>
        <v>2401429.2937185024</v>
      </c>
      <c r="Q15" s="11">
        <v>0</v>
      </c>
      <c r="R15" s="11">
        <v>0</v>
      </c>
      <c r="S15" s="11">
        <f>MAX(0,MIN(Параметры!$C$26-M15,T14))</f>
        <v>1837851.1329029747</v>
      </c>
      <c r="T15" s="11">
        <f t="shared" si="7"/>
        <v>56113695.007608265</v>
      </c>
      <c r="U15" s="11">
        <f t="shared" si="8"/>
        <v>12058496.193602415</v>
      </c>
      <c r="V15" s="11">
        <f t="shared" si="1"/>
        <v>-10669662.514123062</v>
      </c>
    </row>
    <row r="16" spans="1:22" x14ac:dyDescent="0.25">
      <c r="A16" s="13">
        <v>15</v>
      </c>
      <c r="B16" s="13" t="s">
        <v>76</v>
      </c>
      <c r="C16" s="14" t="s">
        <v>68</v>
      </c>
      <c r="D16" s="15">
        <f>Параметры!$C$4*Параметры!$C$7*(1+Параметры!$C$8)^INT((A16-Параметры!$C$11-1)/12)</f>
        <v>6710000</v>
      </c>
      <c r="E16" s="15">
        <f>D16/(1+Параметры!$C$13)</f>
        <v>5500000</v>
      </c>
      <c r="F16" s="15">
        <f t="shared" si="2"/>
        <v>1210000</v>
      </c>
      <c r="G16" s="15">
        <f>IF(AND(A16&gt;Параметры!$C$11,A16&lt;=Параметры!$C$11+3),Параметры!$C$28,0)</f>
        <v>12021857.923497269</v>
      </c>
      <c r="H16" s="15">
        <f t="shared" si="3"/>
        <v>-10811857.923497269</v>
      </c>
      <c r="I16" s="15">
        <f>E16*Параметры!$C$16</f>
        <v>550000</v>
      </c>
      <c r="J16" s="15">
        <f>Параметры!$C$27</f>
        <v>683060.10928961751</v>
      </c>
      <c r="K16" s="15">
        <f>MAX(0,Параметры!$C$20-Параметры!$C$27*MAX(0,A16-Параметры!$C$11-1))*Параметры!$C$15/12</f>
        <v>298041.89435336977</v>
      </c>
      <c r="L16" s="15">
        <f t="shared" si="4"/>
        <v>3968897.996357013</v>
      </c>
      <c r="M16" s="15">
        <f>T15*Параметры!$C$10/12</f>
        <v>935228.25012680457</v>
      </c>
      <c r="N16" s="15">
        <f t="shared" si="5"/>
        <v>3033669.7462302083</v>
      </c>
      <c r="O16" s="15">
        <f>MAX(0,N16*Параметры!$C$14)</f>
        <v>606733.94924604171</v>
      </c>
      <c r="P16" s="15">
        <f t="shared" si="6"/>
        <v>2426935.7969841668</v>
      </c>
      <c r="Q16" s="15">
        <v>0</v>
      </c>
      <c r="R16" s="15">
        <v>0</v>
      </c>
      <c r="S16" s="15">
        <f>MAX(0,MIN(Параметры!$C$26-M16,T15))</f>
        <v>1868481.9851180241</v>
      </c>
      <c r="T16" s="15">
        <f t="shared" si="7"/>
        <v>54245213.022490241</v>
      </c>
      <c r="U16" s="15">
        <f t="shared" si="8"/>
        <v>12053371.844653029</v>
      </c>
      <c r="V16" s="15">
        <f t="shared" si="1"/>
        <v>1383709.3305299673</v>
      </c>
    </row>
    <row r="17" spans="1:22" x14ac:dyDescent="0.25">
      <c r="A17" s="16">
        <v>16</v>
      </c>
      <c r="B17" s="16" t="s">
        <v>77</v>
      </c>
      <c r="C17" s="17" t="s">
        <v>68</v>
      </c>
      <c r="D17" s="11">
        <f>Параметры!$C$4*Параметры!$C$7*(1+Параметры!$C$8)^INT((A17-Параметры!$C$11-1)/12)</f>
        <v>6710000</v>
      </c>
      <c r="E17" s="11">
        <f>D17/(1+Параметры!$C$13)</f>
        <v>5500000</v>
      </c>
      <c r="F17" s="11">
        <f t="shared" si="2"/>
        <v>1210000</v>
      </c>
      <c r="G17" s="11">
        <f>IF(AND(A17&gt;Параметры!$C$11,A17&lt;=Параметры!$C$11+3),Параметры!$C$28,0)</f>
        <v>0</v>
      </c>
      <c r="H17" s="11">
        <f t="shared" si="3"/>
        <v>1210000</v>
      </c>
      <c r="I17" s="11">
        <f>E17*Параметры!$C$16</f>
        <v>550000</v>
      </c>
      <c r="J17" s="11">
        <f>Параметры!$C$27</f>
        <v>683060.10928961751</v>
      </c>
      <c r="K17" s="11">
        <f>MAX(0,Параметры!$C$20-Параметры!$C$27*MAX(0,A17-Параметры!$C$11-1))*Параметры!$C$15/12</f>
        <v>296789.61748633877</v>
      </c>
      <c r="L17" s="11">
        <f t="shared" si="4"/>
        <v>3970150.2732240441</v>
      </c>
      <c r="M17" s="11">
        <f>T16*Параметры!$C$10/12</f>
        <v>904086.88370817073</v>
      </c>
      <c r="N17" s="11">
        <f t="shared" si="5"/>
        <v>3066063.3895158735</v>
      </c>
      <c r="O17" s="11">
        <f>MAX(0,N17*Параметры!$C$14)</f>
        <v>613212.67790317477</v>
      </c>
      <c r="P17" s="11">
        <f t="shared" si="6"/>
        <v>2452850.7116126986</v>
      </c>
      <c r="Q17" s="11">
        <v>0</v>
      </c>
      <c r="R17" s="11">
        <v>0</v>
      </c>
      <c r="S17" s="11">
        <f>MAX(0,MIN(Параметры!$C$26-M17,T16))</f>
        <v>1899623.3515366581</v>
      </c>
      <c r="T17" s="11">
        <f t="shared" si="7"/>
        <v>52345589.670953579</v>
      </c>
      <c r="U17" s="11">
        <f t="shared" si="8"/>
        <v>26287.469365657773</v>
      </c>
      <c r="V17" s="11">
        <f t="shared" si="1"/>
        <v>1409996.7998956251</v>
      </c>
    </row>
    <row r="18" spans="1:22" x14ac:dyDescent="0.25">
      <c r="A18" s="13">
        <v>17</v>
      </c>
      <c r="B18" s="13" t="s">
        <v>78</v>
      </c>
      <c r="C18" s="14" t="s">
        <v>68</v>
      </c>
      <c r="D18" s="15">
        <f>Параметры!$C$4*Параметры!$C$7*(1+Параметры!$C$8)^INT((A18-Параметры!$C$11-1)/12)</f>
        <v>6710000</v>
      </c>
      <c r="E18" s="15">
        <f>D18/(1+Параметры!$C$13)</f>
        <v>5500000</v>
      </c>
      <c r="F18" s="15">
        <f t="shared" si="2"/>
        <v>1210000</v>
      </c>
      <c r="G18" s="15">
        <f>IF(AND(A18&gt;Параметры!$C$11,A18&lt;=Параметры!$C$11+3),Параметры!$C$28,0)</f>
        <v>0</v>
      </c>
      <c r="H18" s="15">
        <f t="shared" si="3"/>
        <v>1210000</v>
      </c>
      <c r="I18" s="15">
        <f>E18*Параметры!$C$16</f>
        <v>550000</v>
      </c>
      <c r="J18" s="15">
        <f>Параметры!$C$27</f>
        <v>683060.10928961751</v>
      </c>
      <c r="K18" s="15">
        <f>MAX(0,Параметры!$C$20-Параметры!$C$27*MAX(0,A18-Параметры!$C$11-1))*Параметры!$C$15/12</f>
        <v>295537.34061930783</v>
      </c>
      <c r="L18" s="15">
        <f t="shared" si="4"/>
        <v>3971402.5500910748</v>
      </c>
      <c r="M18" s="15">
        <f>T17*Параметры!$C$10/12</f>
        <v>872426.49451589305</v>
      </c>
      <c r="N18" s="15">
        <f t="shared" si="5"/>
        <v>3098976.0555751817</v>
      </c>
      <c r="O18" s="15">
        <f>MAX(0,N18*Параметры!$C$14)</f>
        <v>619795.21111503639</v>
      </c>
      <c r="P18" s="15">
        <f t="shared" si="6"/>
        <v>2479180.8444601456</v>
      </c>
      <c r="Q18" s="15">
        <v>0</v>
      </c>
      <c r="R18" s="15">
        <v>0</v>
      </c>
      <c r="S18" s="15">
        <f>MAX(0,MIN(Параметры!$C$26-M18,T17))</f>
        <v>1931283.7407289357</v>
      </c>
      <c r="T18" s="15">
        <f t="shared" si="7"/>
        <v>50414305.930224642</v>
      </c>
      <c r="U18" s="15">
        <f t="shared" si="8"/>
        <v>20957.213020827156</v>
      </c>
      <c r="V18" s="15">
        <f t="shared" si="1"/>
        <v>1430954.0129164523</v>
      </c>
    </row>
    <row r="19" spans="1:22" x14ac:dyDescent="0.25">
      <c r="A19" s="16">
        <v>18</v>
      </c>
      <c r="B19" s="16" t="s">
        <v>79</v>
      </c>
      <c r="C19" s="17" t="s">
        <v>68</v>
      </c>
      <c r="D19" s="11">
        <f>Параметры!$C$4*Параметры!$C$7*(1+Параметры!$C$8)^INT((A19-Параметры!$C$11-1)/12)</f>
        <v>6710000</v>
      </c>
      <c r="E19" s="11">
        <f>D19/(1+Параметры!$C$13)</f>
        <v>5500000</v>
      </c>
      <c r="F19" s="11">
        <f t="shared" si="2"/>
        <v>1210000</v>
      </c>
      <c r="G19" s="11">
        <f>IF(AND(A19&gt;Параметры!$C$11,A19&lt;=Параметры!$C$11+3),Параметры!$C$28,0)</f>
        <v>0</v>
      </c>
      <c r="H19" s="11">
        <f t="shared" si="3"/>
        <v>1210000</v>
      </c>
      <c r="I19" s="11">
        <f>E19*Параметры!$C$16</f>
        <v>550000</v>
      </c>
      <c r="J19" s="11">
        <f>Параметры!$C$27</f>
        <v>683060.10928961751</v>
      </c>
      <c r="K19" s="11">
        <f>MAX(0,Параметры!$C$20-Параметры!$C$27*MAX(0,A19-Параметры!$C$11-1))*Параметры!$C$15/12</f>
        <v>294285.06375227688</v>
      </c>
      <c r="L19" s="11">
        <f t="shared" si="4"/>
        <v>3972654.8269581059</v>
      </c>
      <c r="M19" s="11">
        <f>T18*Параметры!$C$10/12</f>
        <v>840238.43217041076</v>
      </c>
      <c r="N19" s="11">
        <f t="shared" si="5"/>
        <v>3132416.3947876953</v>
      </c>
      <c r="O19" s="11">
        <f>MAX(0,N19*Параметры!$C$14)</f>
        <v>626483.27895753912</v>
      </c>
      <c r="P19" s="11">
        <f t="shared" si="6"/>
        <v>2505933.115830156</v>
      </c>
      <c r="Q19" s="11">
        <v>0</v>
      </c>
      <c r="R19" s="11">
        <v>0</v>
      </c>
      <c r="S19" s="11">
        <f>MAX(0,MIN(Параметры!$C$26-M19,T18))</f>
        <v>1963471.8030744181</v>
      </c>
      <c r="T19" s="11">
        <f t="shared" si="7"/>
        <v>48450834.127150223</v>
      </c>
      <c r="U19" s="11">
        <f t="shared" si="8"/>
        <v>15521.422045355197</v>
      </c>
      <c r="V19" s="11">
        <f t="shared" si="1"/>
        <v>1446475.4349618074</v>
      </c>
    </row>
    <row r="20" spans="1:22" x14ac:dyDescent="0.25">
      <c r="A20" s="13">
        <v>19</v>
      </c>
      <c r="B20" s="13" t="s">
        <v>80</v>
      </c>
      <c r="C20" s="14" t="s">
        <v>68</v>
      </c>
      <c r="D20" s="15">
        <f>Параметры!$C$4*Параметры!$C$7*(1+Параметры!$C$8)^INT((A20-Параметры!$C$11-1)/12)</f>
        <v>6710000</v>
      </c>
      <c r="E20" s="15">
        <f>D20/(1+Параметры!$C$13)</f>
        <v>5500000</v>
      </c>
      <c r="F20" s="15">
        <f t="shared" si="2"/>
        <v>1210000</v>
      </c>
      <c r="G20" s="15">
        <f>IF(AND(A20&gt;Параметры!$C$11,A20&lt;=Параметры!$C$11+3),Параметры!$C$28,0)</f>
        <v>0</v>
      </c>
      <c r="H20" s="15">
        <f t="shared" si="3"/>
        <v>1210000</v>
      </c>
      <c r="I20" s="15">
        <f>E20*Параметры!$C$16</f>
        <v>550000</v>
      </c>
      <c r="J20" s="15">
        <f>Параметры!$C$27</f>
        <v>683060.10928961751</v>
      </c>
      <c r="K20" s="15">
        <f>MAX(0,Параметры!$C$20-Параметры!$C$27*MAX(0,A20-Параметры!$C$11-1))*Параметры!$C$15/12</f>
        <v>293032.78688524588</v>
      </c>
      <c r="L20" s="15">
        <f t="shared" si="4"/>
        <v>3973907.103825137</v>
      </c>
      <c r="M20" s="15">
        <f>T19*Параметры!$C$10/12</f>
        <v>807513.90211917041</v>
      </c>
      <c r="N20" s="15">
        <f t="shared" si="5"/>
        <v>3166393.2017059666</v>
      </c>
      <c r="O20" s="15">
        <f>MAX(0,N20*Параметры!$C$14)</f>
        <v>633278.64034119342</v>
      </c>
      <c r="P20" s="15">
        <f t="shared" si="6"/>
        <v>2533114.5613647732</v>
      </c>
      <c r="Q20" s="15">
        <v>0</v>
      </c>
      <c r="R20" s="15">
        <v>0</v>
      </c>
      <c r="S20" s="15">
        <f>MAX(0,MIN(Параметры!$C$26-M20,T19))</f>
        <v>1996196.3331256583</v>
      </c>
      <c r="T20" s="15">
        <f t="shared" si="7"/>
        <v>46454637.794024564</v>
      </c>
      <c r="U20" s="15">
        <f t="shared" si="8"/>
        <v>9978.3375287326053</v>
      </c>
      <c r="V20" s="15">
        <f t="shared" si="1"/>
        <v>1456453.7724905401</v>
      </c>
    </row>
    <row r="21" spans="1:22" x14ac:dyDescent="0.25">
      <c r="A21" s="16">
        <v>20</v>
      </c>
      <c r="B21" s="16" t="s">
        <v>81</v>
      </c>
      <c r="C21" s="17" t="s">
        <v>68</v>
      </c>
      <c r="D21" s="11">
        <f>Параметры!$C$4*Параметры!$C$7*(1+Параметры!$C$8)^INT((A21-Параметры!$C$11-1)/12)</f>
        <v>6710000</v>
      </c>
      <c r="E21" s="11">
        <f>D21/(1+Параметры!$C$13)</f>
        <v>5500000</v>
      </c>
      <c r="F21" s="11">
        <f t="shared" si="2"/>
        <v>1210000</v>
      </c>
      <c r="G21" s="11">
        <f>IF(AND(A21&gt;Параметры!$C$11,A21&lt;=Параметры!$C$11+3),Параметры!$C$28,0)</f>
        <v>0</v>
      </c>
      <c r="H21" s="11">
        <f t="shared" si="3"/>
        <v>1210000</v>
      </c>
      <c r="I21" s="11">
        <f>E21*Параметры!$C$16</f>
        <v>550000</v>
      </c>
      <c r="J21" s="11">
        <f>Параметры!$C$27</f>
        <v>683060.10928961751</v>
      </c>
      <c r="K21" s="11">
        <f>MAX(0,Параметры!$C$20-Параметры!$C$27*MAX(0,A21-Параметры!$C$11-1))*Параметры!$C$15/12</f>
        <v>291780.51001821493</v>
      </c>
      <c r="L21" s="11">
        <f t="shared" si="4"/>
        <v>3975159.3806921677</v>
      </c>
      <c r="M21" s="11">
        <f>T20*Параметры!$C$10/12</f>
        <v>774243.96323374275</v>
      </c>
      <c r="N21" s="11">
        <f t="shared" si="5"/>
        <v>3200915.4174584248</v>
      </c>
      <c r="O21" s="11">
        <f>MAX(0,N21*Параметры!$C$14)</f>
        <v>640183.08349168499</v>
      </c>
      <c r="P21" s="11">
        <f t="shared" si="6"/>
        <v>2560732.3339667399</v>
      </c>
      <c r="Q21" s="11">
        <v>0</v>
      </c>
      <c r="R21" s="11">
        <v>0</v>
      </c>
      <c r="S21" s="11">
        <f>MAX(0,MIN(Параметры!$C$26-M21,T20))</f>
        <v>2029466.2720110859</v>
      </c>
      <c r="T21" s="11">
        <f t="shared" si="7"/>
        <v>44425171.522013478</v>
      </c>
      <c r="U21" s="11">
        <f t="shared" si="8"/>
        <v>4326.1712452718057</v>
      </c>
      <c r="V21" s="11">
        <f t="shared" si="1"/>
        <v>1460779.9437358119</v>
      </c>
    </row>
    <row r="22" spans="1:22" x14ac:dyDescent="0.25">
      <c r="A22" s="13">
        <v>21</v>
      </c>
      <c r="B22" s="13" t="s">
        <v>82</v>
      </c>
      <c r="C22" s="14" t="s">
        <v>68</v>
      </c>
      <c r="D22" s="15">
        <f>Параметры!$C$4*Параметры!$C$7*(1+Параметры!$C$8)^INT((A22-Параметры!$C$11-1)/12)</f>
        <v>6710000</v>
      </c>
      <c r="E22" s="15">
        <f>D22/(1+Параметры!$C$13)</f>
        <v>5500000</v>
      </c>
      <c r="F22" s="15">
        <f t="shared" si="2"/>
        <v>1210000</v>
      </c>
      <c r="G22" s="15">
        <f>IF(AND(A22&gt;Параметры!$C$11,A22&lt;=Параметры!$C$11+3),Параметры!$C$28,0)</f>
        <v>0</v>
      </c>
      <c r="H22" s="15">
        <f t="shared" si="3"/>
        <v>1210000</v>
      </c>
      <c r="I22" s="15">
        <f>E22*Параметры!$C$16</f>
        <v>550000</v>
      </c>
      <c r="J22" s="15">
        <f>Параметры!$C$27</f>
        <v>683060.10928961751</v>
      </c>
      <c r="K22" s="15">
        <f>MAX(0,Параметры!$C$20-Параметры!$C$27*MAX(0,A22-Параметры!$C$11-1))*Параметры!$C$15/12</f>
        <v>290528.23315118399</v>
      </c>
      <c r="L22" s="15">
        <f t="shared" si="4"/>
        <v>3976411.6575591988</v>
      </c>
      <c r="M22" s="15">
        <f>T21*Параметры!$C$10/12</f>
        <v>740419.52536689129</v>
      </c>
      <c r="N22" s="15">
        <f t="shared" si="5"/>
        <v>3235992.1321923076</v>
      </c>
      <c r="O22" s="15">
        <f>MAX(0,N22*Параметры!$C$14)</f>
        <v>647198.42643846152</v>
      </c>
      <c r="P22" s="15">
        <f t="shared" si="6"/>
        <v>2588793.7057538461</v>
      </c>
      <c r="Q22" s="15">
        <v>0</v>
      </c>
      <c r="R22" s="15">
        <v>0</v>
      </c>
      <c r="S22" s="15">
        <f>MAX(0,MIN(Параметры!$C$26-M22,T21))</f>
        <v>2063290.7098779376</v>
      </c>
      <c r="T22" s="15">
        <f t="shared" si="7"/>
        <v>42361880.81213554</v>
      </c>
      <c r="U22" s="15">
        <f t="shared" si="8"/>
        <v>-1436.8948344741948</v>
      </c>
      <c r="V22" s="15">
        <f t="shared" si="1"/>
        <v>1459343.0489013377</v>
      </c>
    </row>
    <row r="23" spans="1:22" x14ac:dyDescent="0.25">
      <c r="A23" s="16">
        <v>22</v>
      </c>
      <c r="B23" s="16" t="s">
        <v>83</v>
      </c>
      <c r="C23" s="17" t="s">
        <v>68</v>
      </c>
      <c r="D23" s="11">
        <f>Параметры!$C$4*Параметры!$C$7*(1+Параметры!$C$8)^INT((A23-Параметры!$C$11-1)/12)</f>
        <v>6710000</v>
      </c>
      <c r="E23" s="11">
        <f>D23/(1+Параметры!$C$13)</f>
        <v>5500000</v>
      </c>
      <c r="F23" s="11">
        <f t="shared" si="2"/>
        <v>1210000</v>
      </c>
      <c r="G23" s="11">
        <f>IF(AND(A23&gt;Параметры!$C$11,A23&lt;=Параметры!$C$11+3),Параметры!$C$28,0)</f>
        <v>0</v>
      </c>
      <c r="H23" s="11">
        <f t="shared" si="3"/>
        <v>1210000</v>
      </c>
      <c r="I23" s="11">
        <f>E23*Параметры!$C$16</f>
        <v>550000</v>
      </c>
      <c r="J23" s="11">
        <f>Параметры!$C$27</f>
        <v>683060.10928961751</v>
      </c>
      <c r="K23" s="11">
        <f>MAX(0,Параметры!$C$20-Параметры!$C$27*MAX(0,A23-Параметры!$C$11-1))*Параметры!$C$15/12</f>
        <v>289275.95628415298</v>
      </c>
      <c r="L23" s="11">
        <f t="shared" si="4"/>
        <v>3977663.9344262299</v>
      </c>
      <c r="M23" s="11">
        <f>T22*Параметры!$C$10/12</f>
        <v>706031.34686892573</v>
      </c>
      <c r="N23" s="11">
        <f t="shared" si="5"/>
        <v>3271632.5875573042</v>
      </c>
      <c r="O23" s="11">
        <f>MAX(0,N23*Параметры!$C$14)</f>
        <v>654326.51751146093</v>
      </c>
      <c r="P23" s="11">
        <f t="shared" si="6"/>
        <v>2617306.0700458433</v>
      </c>
      <c r="Q23" s="11">
        <v>0</v>
      </c>
      <c r="R23" s="11">
        <v>0</v>
      </c>
      <c r="S23" s="11">
        <f>MAX(0,MIN(Параметры!$C$26-M23,T22))</f>
        <v>2097678.888375903</v>
      </c>
      <c r="T23" s="11">
        <f t="shared" si="7"/>
        <v>40264201.923759639</v>
      </c>
      <c r="U23" s="11">
        <f t="shared" si="8"/>
        <v>-7312.709040442016</v>
      </c>
      <c r="V23" s="11">
        <f t="shared" si="1"/>
        <v>1452030.3398608956</v>
      </c>
    </row>
    <row r="24" spans="1:22" x14ac:dyDescent="0.25">
      <c r="A24" s="13">
        <v>23</v>
      </c>
      <c r="B24" s="13" t="s">
        <v>84</v>
      </c>
      <c r="C24" s="14" t="s">
        <v>68</v>
      </c>
      <c r="D24" s="15">
        <f>Параметры!$C$4*Параметры!$C$7*(1+Параметры!$C$8)^INT((A24-Параметры!$C$11-1)/12)</f>
        <v>6710000</v>
      </c>
      <c r="E24" s="15">
        <f>D24/(1+Параметры!$C$13)</f>
        <v>5500000</v>
      </c>
      <c r="F24" s="15">
        <f t="shared" si="2"/>
        <v>1210000</v>
      </c>
      <c r="G24" s="15">
        <f>IF(AND(A24&gt;Параметры!$C$11,A24&lt;=Параметры!$C$11+3),Параметры!$C$28,0)</f>
        <v>0</v>
      </c>
      <c r="H24" s="15">
        <f t="shared" si="3"/>
        <v>1210000</v>
      </c>
      <c r="I24" s="15">
        <f>E24*Параметры!$C$16</f>
        <v>550000</v>
      </c>
      <c r="J24" s="15">
        <f>Параметры!$C$27</f>
        <v>683060.10928961751</v>
      </c>
      <c r="K24" s="15">
        <f>MAX(0,Параметры!$C$20-Параметры!$C$27*MAX(0,A24-Параметры!$C$11-1))*Параметры!$C$15/12</f>
        <v>288023.67941712204</v>
      </c>
      <c r="L24" s="15">
        <f t="shared" si="4"/>
        <v>3978916.2112932606</v>
      </c>
      <c r="M24" s="15">
        <f>T23*Параметры!$C$10/12</f>
        <v>671070.03206266067</v>
      </c>
      <c r="N24" s="15">
        <f t="shared" si="5"/>
        <v>3307846.1792305997</v>
      </c>
      <c r="O24" s="15">
        <f>MAX(0,N24*Параметры!$C$14)</f>
        <v>661569.23584611993</v>
      </c>
      <c r="P24" s="15">
        <f t="shared" si="6"/>
        <v>2646276.9433844797</v>
      </c>
      <c r="Q24" s="15">
        <v>0</v>
      </c>
      <c r="R24" s="15">
        <v>0</v>
      </c>
      <c r="S24" s="15">
        <f>MAX(0,MIN(Параметры!$C$26-M24,T23))</f>
        <v>2132640.2031821683</v>
      </c>
      <c r="T24" s="15">
        <f t="shared" si="7"/>
        <v>38131561.720577471</v>
      </c>
      <c r="U24" s="15">
        <f t="shared" si="8"/>
        <v>-13303.150508071296</v>
      </c>
      <c r="V24" s="15">
        <f t="shared" si="1"/>
        <v>1438727.1893528244</v>
      </c>
    </row>
    <row r="25" spans="1:22" x14ac:dyDescent="0.25">
      <c r="A25" s="16">
        <v>24</v>
      </c>
      <c r="B25" s="16" t="s">
        <v>85</v>
      </c>
      <c r="C25" s="17" t="s">
        <v>68</v>
      </c>
      <c r="D25" s="11">
        <f>Параметры!$C$4*Параметры!$C$7*(1+Параметры!$C$8)^INT((A25-Параметры!$C$11-1)/12)</f>
        <v>6710000</v>
      </c>
      <c r="E25" s="11">
        <f>D25/(1+Параметры!$C$13)</f>
        <v>5500000</v>
      </c>
      <c r="F25" s="11">
        <f t="shared" si="2"/>
        <v>1210000</v>
      </c>
      <c r="G25" s="11">
        <f>IF(AND(A25&gt;Параметры!$C$11,A25&lt;=Параметры!$C$11+3),Параметры!$C$28,0)</f>
        <v>0</v>
      </c>
      <c r="H25" s="11">
        <f t="shared" si="3"/>
        <v>1210000</v>
      </c>
      <c r="I25" s="11">
        <f>E25*Параметры!$C$16</f>
        <v>550000</v>
      </c>
      <c r="J25" s="11">
        <f>Параметры!$C$27</f>
        <v>683060.10928961751</v>
      </c>
      <c r="K25" s="11">
        <f>MAX(0,Параметры!$C$20-Параметры!$C$27*MAX(0,A25-Параметры!$C$11-1))*Параметры!$C$15/12</f>
        <v>286771.40255009109</v>
      </c>
      <c r="L25" s="11">
        <f t="shared" si="4"/>
        <v>3980168.4881602917</v>
      </c>
      <c r="M25" s="11">
        <f>T24*Параметры!$C$10/12</f>
        <v>635526.02867629123</v>
      </c>
      <c r="N25" s="11">
        <f t="shared" si="5"/>
        <v>3344642.4594840007</v>
      </c>
      <c r="O25" s="11">
        <f>MAX(0,N25*Параметры!$C$14)</f>
        <v>668928.49189680023</v>
      </c>
      <c r="P25" s="11">
        <f t="shared" si="6"/>
        <v>2675713.9675872005</v>
      </c>
      <c r="Q25" s="11">
        <v>0</v>
      </c>
      <c r="R25" s="11">
        <v>0</v>
      </c>
      <c r="S25" s="11">
        <f>MAX(0,MIN(Параметры!$C$26-M25,T24))</f>
        <v>2168184.2065685373</v>
      </c>
      <c r="T25" s="11">
        <f t="shared" si="7"/>
        <v>35963377.514008932</v>
      </c>
      <c r="U25" s="11">
        <f t="shared" si="8"/>
        <v>-19410.129691719078</v>
      </c>
      <c r="V25" s="11">
        <f t="shared" si="1"/>
        <v>1419317.0596611053</v>
      </c>
    </row>
    <row r="26" spans="1:22" x14ac:dyDescent="0.25">
      <c r="A26" s="13">
        <v>25</v>
      </c>
      <c r="B26" s="13" t="s">
        <v>86</v>
      </c>
      <c r="C26" s="14" t="s">
        <v>68</v>
      </c>
      <c r="D26" s="15">
        <f>Параметры!$C$4*Параметры!$C$7*(1+Параметры!$C$8)^INT((A26-Параметры!$C$11-1)/12)</f>
        <v>7179700</v>
      </c>
      <c r="E26" s="15">
        <f>D26/(1+Параметры!$C$13)</f>
        <v>5885000</v>
      </c>
      <c r="F26" s="15">
        <f t="shared" si="2"/>
        <v>1294700</v>
      </c>
      <c r="G26" s="15">
        <f>IF(AND(A26&gt;Параметры!$C$11,A26&lt;=Параметры!$C$11+3),Параметры!$C$28,0)</f>
        <v>0</v>
      </c>
      <c r="H26" s="15">
        <f t="shared" si="3"/>
        <v>1294700</v>
      </c>
      <c r="I26" s="15">
        <f>E26*Параметры!$C$16</f>
        <v>588500</v>
      </c>
      <c r="J26" s="15">
        <f>Параметры!$C$27</f>
        <v>683060.10928961751</v>
      </c>
      <c r="K26" s="15">
        <f>MAX(0,Параметры!$C$20-Параметры!$C$27*MAX(0,A26-Параметры!$C$11-1))*Параметры!$C$15/12</f>
        <v>285519.12568306009</v>
      </c>
      <c r="L26" s="15">
        <f t="shared" si="4"/>
        <v>4327920.7650273228</v>
      </c>
      <c r="M26" s="15">
        <f>T25*Параметры!$C$10/12</f>
        <v>599389.62523348222</v>
      </c>
      <c r="N26" s="15">
        <f t="shared" si="5"/>
        <v>3728531.1397938407</v>
      </c>
      <c r="O26" s="15">
        <f>MAX(0,N26*Параметры!$C$14)</f>
        <v>745706.22795876814</v>
      </c>
      <c r="P26" s="15">
        <f t="shared" si="6"/>
        <v>2982824.9118350726</v>
      </c>
      <c r="Q26" s="15">
        <v>0</v>
      </c>
      <c r="R26" s="15">
        <v>0</v>
      </c>
      <c r="S26" s="15">
        <f>MAX(0,MIN(Параметры!$C$26-M26,T25))</f>
        <v>2204320.6100113466</v>
      </c>
      <c r="T26" s="15">
        <f t="shared" si="7"/>
        <v>33759056.903997585</v>
      </c>
      <c r="U26" s="15">
        <f t="shared" si="8"/>
        <v>166864.4111133432</v>
      </c>
      <c r="V26" s="15">
        <f t="shared" si="1"/>
        <v>1586181.4707744485</v>
      </c>
    </row>
    <row r="27" spans="1:22" x14ac:dyDescent="0.25">
      <c r="A27" s="16">
        <v>26</v>
      </c>
      <c r="B27" s="16" t="s">
        <v>87</v>
      </c>
      <c r="C27" s="17" t="s">
        <v>68</v>
      </c>
      <c r="D27" s="11">
        <f>Параметры!$C$4*Параметры!$C$7*(1+Параметры!$C$8)^INT((A27-Параметры!$C$11-1)/12)</f>
        <v>7179700</v>
      </c>
      <c r="E27" s="11">
        <f>D27/(1+Параметры!$C$13)</f>
        <v>5885000</v>
      </c>
      <c r="F27" s="11">
        <f t="shared" si="2"/>
        <v>1294700</v>
      </c>
      <c r="G27" s="11">
        <f>IF(AND(A27&gt;Параметры!$C$11,A27&lt;=Параметры!$C$11+3),Параметры!$C$28,0)</f>
        <v>0</v>
      </c>
      <c r="H27" s="11">
        <f t="shared" si="3"/>
        <v>1294700</v>
      </c>
      <c r="I27" s="11">
        <f>E27*Параметры!$C$16</f>
        <v>588500</v>
      </c>
      <c r="J27" s="11">
        <f>Параметры!$C$27</f>
        <v>683060.10928961751</v>
      </c>
      <c r="K27" s="11">
        <f>MAX(0,Параметры!$C$20-Параметры!$C$27*MAX(0,A27-Параметры!$C$11-1))*Параметры!$C$15/12</f>
        <v>284266.84881602915</v>
      </c>
      <c r="L27" s="11">
        <f t="shared" si="4"/>
        <v>4329173.0418943539</v>
      </c>
      <c r="M27" s="11">
        <f>T26*Параметры!$C$10/12</f>
        <v>562650.94839995971</v>
      </c>
      <c r="N27" s="11">
        <f t="shared" si="5"/>
        <v>3766522.0934943943</v>
      </c>
      <c r="O27" s="11">
        <f>MAX(0,N27*Параметры!$C$14)</f>
        <v>753304.41869887896</v>
      </c>
      <c r="P27" s="11">
        <f t="shared" si="6"/>
        <v>3013217.6747955154</v>
      </c>
      <c r="Q27" s="11">
        <v>0</v>
      </c>
      <c r="R27" s="11">
        <v>0</v>
      </c>
      <c r="S27" s="11">
        <f>MAX(0,MIN(Параметры!$C$26-M27,T26))</f>
        <v>2241059.2868448691</v>
      </c>
      <c r="T27" s="11">
        <f t="shared" si="7"/>
        <v>31517997.617152717</v>
      </c>
      <c r="U27" s="11">
        <f t="shared" si="8"/>
        <v>160518.49724026397</v>
      </c>
      <c r="V27" s="11">
        <f t="shared" si="1"/>
        <v>1746699.9680147124</v>
      </c>
    </row>
    <row r="28" spans="1:22" x14ac:dyDescent="0.25">
      <c r="A28" s="13">
        <v>27</v>
      </c>
      <c r="B28" s="13" t="s">
        <v>88</v>
      </c>
      <c r="C28" s="14" t="s">
        <v>68</v>
      </c>
      <c r="D28" s="15">
        <f>Параметры!$C$4*Параметры!$C$7*(1+Параметры!$C$8)^INT((A28-Параметры!$C$11-1)/12)</f>
        <v>7179700</v>
      </c>
      <c r="E28" s="15">
        <f>D28/(1+Параметры!$C$13)</f>
        <v>5885000</v>
      </c>
      <c r="F28" s="15">
        <f t="shared" si="2"/>
        <v>1294700</v>
      </c>
      <c r="G28" s="15">
        <f>IF(AND(A28&gt;Параметры!$C$11,A28&lt;=Параметры!$C$11+3),Параметры!$C$28,0)</f>
        <v>0</v>
      </c>
      <c r="H28" s="15">
        <f t="shared" si="3"/>
        <v>1294700</v>
      </c>
      <c r="I28" s="15">
        <f>E28*Параметры!$C$16</f>
        <v>588500</v>
      </c>
      <c r="J28" s="15">
        <f>Параметры!$C$27</f>
        <v>683060.10928961751</v>
      </c>
      <c r="K28" s="15">
        <f>MAX(0,Параметры!$C$20-Параметры!$C$27*MAX(0,A28-Параметры!$C$11-1))*Параметры!$C$15/12</f>
        <v>283014.57194899814</v>
      </c>
      <c r="L28" s="15">
        <f t="shared" si="4"/>
        <v>4330425.3187613841</v>
      </c>
      <c r="M28" s="15">
        <f>T27*Параметры!$C$10/12</f>
        <v>525299.96028587862</v>
      </c>
      <c r="N28" s="15">
        <f t="shared" si="5"/>
        <v>3805125.3584755054</v>
      </c>
      <c r="O28" s="15">
        <f>MAX(0,N28*Параметры!$C$14)</f>
        <v>761025.0716951011</v>
      </c>
      <c r="P28" s="15">
        <f t="shared" si="6"/>
        <v>3044100.2867804044</v>
      </c>
      <c r="Q28" s="15">
        <v>0</v>
      </c>
      <c r="R28" s="15">
        <v>0</v>
      </c>
      <c r="S28" s="15">
        <f>MAX(0,MIN(Параметры!$C$26-M28,T27))</f>
        <v>2278410.27495895</v>
      </c>
      <c r="T28" s="15">
        <f t="shared" si="7"/>
        <v>29239587.342193767</v>
      </c>
      <c r="U28" s="15">
        <f t="shared" si="8"/>
        <v>154050.12111107213</v>
      </c>
      <c r="V28" s="15">
        <f t="shared" si="1"/>
        <v>1900750.0891257846</v>
      </c>
    </row>
    <row r="29" spans="1:22" x14ac:dyDescent="0.25">
      <c r="A29" s="16">
        <v>28</v>
      </c>
      <c r="B29" s="16" t="s">
        <v>89</v>
      </c>
      <c r="C29" s="17" t="s">
        <v>68</v>
      </c>
      <c r="D29" s="11">
        <f>Параметры!$C$4*Параметры!$C$7*(1+Параметры!$C$8)^INT((A29-Параметры!$C$11-1)/12)</f>
        <v>7179700</v>
      </c>
      <c r="E29" s="11">
        <f>D29/(1+Параметры!$C$13)</f>
        <v>5885000</v>
      </c>
      <c r="F29" s="11">
        <f t="shared" si="2"/>
        <v>1294700</v>
      </c>
      <c r="G29" s="11">
        <f>IF(AND(A29&gt;Параметры!$C$11,A29&lt;=Параметры!$C$11+3),Параметры!$C$28,0)</f>
        <v>0</v>
      </c>
      <c r="H29" s="11">
        <f t="shared" si="3"/>
        <v>1294700</v>
      </c>
      <c r="I29" s="11">
        <f>E29*Параметры!$C$16</f>
        <v>588500</v>
      </c>
      <c r="J29" s="11">
        <f>Параметры!$C$27</f>
        <v>683060.10928961751</v>
      </c>
      <c r="K29" s="11">
        <f>MAX(0,Параметры!$C$20-Параметры!$C$27*MAX(0,A29-Параметры!$C$11-1))*Параметры!$C$15/12</f>
        <v>281762.2950819672</v>
      </c>
      <c r="L29" s="11">
        <f t="shared" si="4"/>
        <v>4331677.5956284152</v>
      </c>
      <c r="M29" s="11">
        <f>T28*Параметры!$C$10/12</f>
        <v>487326.45570322947</v>
      </c>
      <c r="N29" s="11">
        <f t="shared" si="5"/>
        <v>3844351.1399251856</v>
      </c>
      <c r="O29" s="11">
        <f>MAX(0,N29*Параметры!$C$14)</f>
        <v>768870.22798503714</v>
      </c>
      <c r="P29" s="11">
        <f t="shared" si="6"/>
        <v>3075480.9119401486</v>
      </c>
      <c r="Q29" s="11">
        <v>0</v>
      </c>
      <c r="R29" s="11">
        <v>0</v>
      </c>
      <c r="S29" s="11">
        <f>MAX(0,MIN(Параметры!$C$26-M29,T28))</f>
        <v>2316383.7795415991</v>
      </c>
      <c r="T29" s="11">
        <f t="shared" si="7"/>
        <v>26923203.562652167</v>
      </c>
      <c r="U29" s="11">
        <f t="shared" si="8"/>
        <v>147457.24168816721</v>
      </c>
      <c r="V29" s="11">
        <f t="shared" si="1"/>
        <v>2048207.3308139518</v>
      </c>
    </row>
    <row r="30" spans="1:22" x14ac:dyDescent="0.25">
      <c r="A30" s="13">
        <v>29</v>
      </c>
      <c r="B30" s="13" t="s">
        <v>90</v>
      </c>
      <c r="C30" s="14" t="s">
        <v>68</v>
      </c>
      <c r="D30" s="15">
        <f>Параметры!$C$4*Параметры!$C$7*(1+Параметры!$C$8)^INT((A30-Параметры!$C$11-1)/12)</f>
        <v>7179700</v>
      </c>
      <c r="E30" s="15">
        <f>D30/(1+Параметры!$C$13)</f>
        <v>5885000</v>
      </c>
      <c r="F30" s="15">
        <f t="shared" si="2"/>
        <v>1294700</v>
      </c>
      <c r="G30" s="15">
        <f>IF(AND(A30&gt;Параметры!$C$11,A30&lt;=Параметры!$C$11+3),Параметры!$C$28,0)</f>
        <v>0</v>
      </c>
      <c r="H30" s="15">
        <f t="shared" si="3"/>
        <v>1294700</v>
      </c>
      <c r="I30" s="15">
        <f>E30*Параметры!$C$16</f>
        <v>588500</v>
      </c>
      <c r="J30" s="15">
        <f>Параметры!$C$27</f>
        <v>683060.10928961751</v>
      </c>
      <c r="K30" s="15">
        <f>MAX(0,Параметры!$C$20-Параметры!$C$27*MAX(0,A30-Параметры!$C$11-1))*Параметры!$C$15/12</f>
        <v>280510.01821493619</v>
      </c>
      <c r="L30" s="15">
        <f t="shared" si="4"/>
        <v>4332929.8724954464</v>
      </c>
      <c r="M30" s="15">
        <f>T29*Параметры!$C$10/12</f>
        <v>448720.05937753618</v>
      </c>
      <c r="N30" s="15">
        <f t="shared" si="5"/>
        <v>3884209.8131179102</v>
      </c>
      <c r="O30" s="15">
        <f>MAX(0,N30*Параметры!$C$14)</f>
        <v>776841.96262358211</v>
      </c>
      <c r="P30" s="15">
        <f t="shared" si="6"/>
        <v>3107367.850494328</v>
      </c>
      <c r="Q30" s="15">
        <v>0</v>
      </c>
      <c r="R30" s="15">
        <v>0</v>
      </c>
      <c r="S30" s="15">
        <f>MAX(0,MIN(Параметры!$C$26-M30,T29))</f>
        <v>2354990.1758672926</v>
      </c>
      <c r="T30" s="15">
        <f t="shared" si="7"/>
        <v>24568213.386784874</v>
      </c>
      <c r="U30" s="15">
        <f t="shared" si="8"/>
        <v>140737.78391665267</v>
      </c>
      <c r="V30" s="15">
        <f t="shared" si="1"/>
        <v>2188945.1147306045</v>
      </c>
    </row>
    <row r="31" spans="1:22" x14ac:dyDescent="0.25">
      <c r="A31" s="16">
        <v>30</v>
      </c>
      <c r="B31" s="16" t="s">
        <v>91</v>
      </c>
      <c r="C31" s="17" t="s">
        <v>68</v>
      </c>
      <c r="D31" s="11">
        <f>Параметры!$C$4*Параметры!$C$7*(1+Параметры!$C$8)^INT((A31-Параметры!$C$11-1)/12)</f>
        <v>7179700</v>
      </c>
      <c r="E31" s="11">
        <f>D31/(1+Параметры!$C$13)</f>
        <v>5885000</v>
      </c>
      <c r="F31" s="11">
        <f t="shared" si="2"/>
        <v>1294700</v>
      </c>
      <c r="G31" s="11">
        <f>IF(AND(A31&gt;Параметры!$C$11,A31&lt;=Параметры!$C$11+3),Параметры!$C$28,0)</f>
        <v>0</v>
      </c>
      <c r="H31" s="11">
        <f t="shared" si="3"/>
        <v>1294700</v>
      </c>
      <c r="I31" s="11">
        <f>E31*Параметры!$C$16</f>
        <v>588500</v>
      </c>
      <c r="J31" s="11">
        <f>Параметры!$C$27</f>
        <v>683060.10928961751</v>
      </c>
      <c r="K31" s="11">
        <f>MAX(0,Параметры!$C$20-Параметры!$C$27*MAX(0,A31-Параметры!$C$11-1))*Параметры!$C$15/12</f>
        <v>279257.74134790525</v>
      </c>
      <c r="L31" s="11">
        <f t="shared" si="4"/>
        <v>4334182.1493624775</v>
      </c>
      <c r="M31" s="11">
        <f>T30*Параметры!$C$10/12</f>
        <v>409470.22311308124</v>
      </c>
      <c r="N31" s="11">
        <f t="shared" si="5"/>
        <v>3924711.9262493961</v>
      </c>
      <c r="O31" s="11">
        <f>MAX(0,N31*Параметры!$C$14)</f>
        <v>784942.38524987921</v>
      </c>
      <c r="P31" s="11">
        <f t="shared" si="6"/>
        <v>3139769.5409995168</v>
      </c>
      <c r="Q31" s="11">
        <v>0</v>
      </c>
      <c r="R31" s="11">
        <v>0</v>
      </c>
      <c r="S31" s="11">
        <f>MAX(0,MIN(Параметры!$C$26-M31,T30))</f>
        <v>2394240.0121317473</v>
      </c>
      <c r="T31" s="11">
        <f t="shared" si="7"/>
        <v>22173973.374653127</v>
      </c>
      <c r="U31" s="11">
        <f t="shared" si="8"/>
        <v>133889.6381573868</v>
      </c>
      <c r="V31" s="11">
        <f t="shared" si="1"/>
        <v>2322834.7528879913</v>
      </c>
    </row>
    <row r="32" spans="1:22" x14ac:dyDescent="0.25">
      <c r="A32" s="13">
        <v>31</v>
      </c>
      <c r="B32" s="13" t="s">
        <v>92</v>
      </c>
      <c r="C32" s="14" t="s">
        <v>68</v>
      </c>
      <c r="D32" s="15">
        <f>Параметры!$C$4*Параметры!$C$7*(1+Параметры!$C$8)^INT((A32-Параметры!$C$11-1)/12)</f>
        <v>7179700</v>
      </c>
      <c r="E32" s="15">
        <f>D32/(1+Параметры!$C$13)</f>
        <v>5885000</v>
      </c>
      <c r="F32" s="15">
        <f t="shared" si="2"/>
        <v>1294700</v>
      </c>
      <c r="G32" s="15">
        <f>IF(AND(A32&gt;Параметры!$C$11,A32&lt;=Параметры!$C$11+3),Параметры!$C$28,0)</f>
        <v>0</v>
      </c>
      <c r="H32" s="15">
        <f t="shared" si="3"/>
        <v>1294700</v>
      </c>
      <c r="I32" s="15">
        <f>E32*Параметры!$C$16</f>
        <v>588500</v>
      </c>
      <c r="J32" s="15">
        <f>Параметры!$C$27</f>
        <v>683060.10928961751</v>
      </c>
      <c r="K32" s="15">
        <f>MAX(0,Параметры!$C$20-Параметры!$C$27*MAX(0,A32-Параметры!$C$11-1))*Параметры!$C$15/12</f>
        <v>278005.4644808743</v>
      </c>
      <c r="L32" s="15">
        <f t="shared" si="4"/>
        <v>4335434.4262295086</v>
      </c>
      <c r="M32" s="15">
        <f>T31*Параметры!$C$10/12</f>
        <v>369566.22291088547</v>
      </c>
      <c r="N32" s="15">
        <f t="shared" si="5"/>
        <v>3965868.2033186229</v>
      </c>
      <c r="O32" s="15">
        <f>MAX(0,N32*Параметры!$C$14)</f>
        <v>793173.64066372463</v>
      </c>
      <c r="P32" s="15">
        <f t="shared" si="6"/>
        <v>3172694.5626548985</v>
      </c>
      <c r="Q32" s="15">
        <v>0</v>
      </c>
      <c r="R32" s="15">
        <v>0</v>
      </c>
      <c r="S32" s="15">
        <f>MAX(0,MIN(Параметры!$C$26-M32,T31))</f>
        <v>2434144.0123339435</v>
      </c>
      <c r="T32" s="15">
        <f t="shared" si="7"/>
        <v>19739829.362319183</v>
      </c>
      <c r="U32" s="15">
        <f t="shared" si="8"/>
        <v>126910.65961057227</v>
      </c>
      <c r="V32" s="15">
        <f t="shared" si="1"/>
        <v>2449745.4124985635</v>
      </c>
    </row>
    <row r="33" spans="1:22" x14ac:dyDescent="0.25">
      <c r="A33" s="16">
        <v>32</v>
      </c>
      <c r="B33" s="16" t="s">
        <v>93</v>
      </c>
      <c r="C33" s="17" t="s">
        <v>68</v>
      </c>
      <c r="D33" s="11">
        <f>Параметры!$C$4*Параметры!$C$7*(1+Параметры!$C$8)^INT((A33-Параметры!$C$11-1)/12)</f>
        <v>7179700</v>
      </c>
      <c r="E33" s="11">
        <f>D33/(1+Параметры!$C$13)</f>
        <v>5885000</v>
      </c>
      <c r="F33" s="11">
        <f t="shared" si="2"/>
        <v>1294700</v>
      </c>
      <c r="G33" s="11">
        <f>IF(AND(A33&gt;Параметры!$C$11,A33&lt;=Параметры!$C$11+3),Параметры!$C$28,0)</f>
        <v>0</v>
      </c>
      <c r="H33" s="11">
        <f t="shared" si="3"/>
        <v>1294700</v>
      </c>
      <c r="I33" s="11">
        <f>E33*Параметры!$C$16</f>
        <v>588500</v>
      </c>
      <c r="J33" s="11">
        <f>Параметры!$C$27</f>
        <v>683060.10928961751</v>
      </c>
      <c r="K33" s="11">
        <f>MAX(0,Параметры!$C$20-Параметры!$C$27*MAX(0,A33-Параметры!$C$11-1))*Параметры!$C$15/12</f>
        <v>276753.1876138433</v>
      </c>
      <c r="L33" s="11">
        <f t="shared" si="4"/>
        <v>4336686.7030965397</v>
      </c>
      <c r="M33" s="11">
        <f>T32*Параметры!$C$10/12</f>
        <v>328997.15603865305</v>
      </c>
      <c r="N33" s="11">
        <f t="shared" si="5"/>
        <v>4007689.5470578866</v>
      </c>
      <c r="O33" s="11">
        <f>MAX(0,N33*Параметры!$C$14)</f>
        <v>801537.90941157739</v>
      </c>
      <c r="P33" s="11">
        <f t="shared" si="6"/>
        <v>3206151.6376463091</v>
      </c>
      <c r="Q33" s="11">
        <v>0</v>
      </c>
      <c r="R33" s="11">
        <v>0</v>
      </c>
      <c r="S33" s="11">
        <f>MAX(0,MIN(Параметры!$C$26-M33,T32))</f>
        <v>2474713.0792061756</v>
      </c>
      <c r="T33" s="11">
        <f t="shared" si="7"/>
        <v>17265116.283113007</v>
      </c>
      <c r="U33" s="11">
        <f t="shared" si="8"/>
        <v>119798.66772975074</v>
      </c>
      <c r="V33" s="11">
        <f t="shared" si="1"/>
        <v>2569544.0802283143</v>
      </c>
    </row>
    <row r="34" spans="1:22" x14ac:dyDescent="0.25">
      <c r="A34" s="13">
        <v>33</v>
      </c>
      <c r="B34" s="13" t="s">
        <v>94</v>
      </c>
      <c r="C34" s="14" t="s">
        <v>68</v>
      </c>
      <c r="D34" s="15">
        <f>Параметры!$C$4*Параметры!$C$7*(1+Параметры!$C$8)^INT((A34-Параметры!$C$11-1)/12)</f>
        <v>7179700</v>
      </c>
      <c r="E34" s="15">
        <f>D34/(1+Параметры!$C$13)</f>
        <v>5885000</v>
      </c>
      <c r="F34" s="15">
        <f t="shared" si="2"/>
        <v>1294700</v>
      </c>
      <c r="G34" s="15">
        <f>IF(AND(A34&gt;Параметры!$C$11,A34&lt;=Параметры!$C$11+3),Параметры!$C$28,0)</f>
        <v>0</v>
      </c>
      <c r="H34" s="15">
        <f t="shared" si="3"/>
        <v>1294700</v>
      </c>
      <c r="I34" s="15">
        <f>E34*Параметры!$C$16</f>
        <v>588500</v>
      </c>
      <c r="J34" s="15">
        <f>Параметры!$C$27</f>
        <v>683060.10928961751</v>
      </c>
      <c r="K34" s="15">
        <f>MAX(0,Параметры!$C$20-Параметры!$C$27*MAX(0,A34-Параметры!$C$11-1))*Параметры!$C$15/12</f>
        <v>275500.91074681235</v>
      </c>
      <c r="L34" s="15">
        <f t="shared" si="4"/>
        <v>4337938.9799635708</v>
      </c>
      <c r="M34" s="15">
        <f>T33*Параметры!$C$10/12</f>
        <v>287751.93805188342</v>
      </c>
      <c r="N34" s="15">
        <f t="shared" si="5"/>
        <v>4050187.0419116872</v>
      </c>
      <c r="O34" s="15">
        <f>MAX(0,N34*Параметры!$C$14)</f>
        <v>810037.40838233754</v>
      </c>
      <c r="P34" s="15">
        <f t="shared" si="6"/>
        <v>3240149.6335293497</v>
      </c>
      <c r="Q34" s="15">
        <v>0</v>
      </c>
      <c r="R34" s="15">
        <v>0</v>
      </c>
      <c r="S34" s="15">
        <f>MAX(0,MIN(Параметры!$C$26-M34,T33))</f>
        <v>2515958.2971929451</v>
      </c>
      <c r="T34" s="15">
        <f t="shared" si="7"/>
        <v>14749157.98592006</v>
      </c>
      <c r="U34" s="15">
        <f t="shared" si="8"/>
        <v>112551.44562602229</v>
      </c>
      <c r="V34" s="15">
        <f t="shared" si="1"/>
        <v>2682095.5258543366</v>
      </c>
    </row>
    <row r="35" spans="1:22" x14ac:dyDescent="0.25">
      <c r="A35" s="16">
        <v>34</v>
      </c>
      <c r="B35" s="16" t="s">
        <v>95</v>
      </c>
      <c r="C35" s="17" t="s">
        <v>68</v>
      </c>
      <c r="D35" s="11">
        <f>Параметры!$C$4*Параметры!$C$7*(1+Параметры!$C$8)^INT((A35-Параметры!$C$11-1)/12)</f>
        <v>7179700</v>
      </c>
      <c r="E35" s="11">
        <f>D35/(1+Параметры!$C$13)</f>
        <v>5885000</v>
      </c>
      <c r="F35" s="11">
        <f t="shared" si="2"/>
        <v>1294700</v>
      </c>
      <c r="G35" s="11">
        <f>IF(AND(A35&gt;Параметры!$C$11,A35&lt;=Параметры!$C$11+3),Параметры!$C$28,0)</f>
        <v>0</v>
      </c>
      <c r="H35" s="11">
        <f t="shared" si="3"/>
        <v>1294700</v>
      </c>
      <c r="I35" s="11">
        <f>E35*Параметры!$C$16</f>
        <v>588500</v>
      </c>
      <c r="J35" s="11">
        <f>Параметры!$C$27</f>
        <v>683060.10928961751</v>
      </c>
      <c r="K35" s="11">
        <f>MAX(0,Параметры!$C$20-Параметры!$C$27*MAX(0,A35-Параметры!$C$11-1))*Параметры!$C$15/12</f>
        <v>274248.63387978141</v>
      </c>
      <c r="L35" s="11">
        <f t="shared" si="4"/>
        <v>4339191.256830601</v>
      </c>
      <c r="M35" s="11">
        <f>T34*Параметры!$C$10/12</f>
        <v>245819.29976533435</v>
      </c>
      <c r="N35" s="11">
        <f t="shared" si="5"/>
        <v>4093371.9570652666</v>
      </c>
      <c r="O35" s="11">
        <f>MAX(0,N35*Параметры!$C$14)</f>
        <v>818674.39141305338</v>
      </c>
      <c r="P35" s="11">
        <f t="shared" si="6"/>
        <v>3274697.5656522131</v>
      </c>
      <c r="Q35" s="11">
        <v>0</v>
      </c>
      <c r="R35" s="11">
        <v>0</v>
      </c>
      <c r="S35" s="11">
        <f>MAX(0,MIN(Параметры!$C$26-M35,T34))</f>
        <v>2557890.9354794943</v>
      </c>
      <c r="T35" s="11">
        <f t="shared" si="7"/>
        <v>12191267.050440567</v>
      </c>
      <c r="U35" s="11">
        <f t="shared" si="8"/>
        <v>105166.73946233606</v>
      </c>
      <c r="V35" s="11">
        <f t="shared" ref="V35:V66" si="9">V34+U35</f>
        <v>2787262.2653166726</v>
      </c>
    </row>
    <row r="36" spans="1:22" x14ac:dyDescent="0.25">
      <c r="A36" s="13">
        <v>35</v>
      </c>
      <c r="B36" s="13" t="s">
        <v>96</v>
      </c>
      <c r="C36" s="14" t="s">
        <v>68</v>
      </c>
      <c r="D36" s="15">
        <f>Параметры!$C$4*Параметры!$C$7*(1+Параметры!$C$8)^INT((A36-Параметры!$C$11-1)/12)</f>
        <v>7179700</v>
      </c>
      <c r="E36" s="15">
        <f>D36/(1+Параметры!$C$13)</f>
        <v>5885000</v>
      </c>
      <c r="F36" s="15">
        <f t="shared" si="2"/>
        <v>1294700</v>
      </c>
      <c r="G36" s="15">
        <f>IF(AND(A36&gt;Параметры!$C$11,A36&lt;=Параметры!$C$11+3),Параметры!$C$28,0)</f>
        <v>0</v>
      </c>
      <c r="H36" s="15">
        <f t="shared" si="3"/>
        <v>1294700</v>
      </c>
      <c r="I36" s="15">
        <f>E36*Параметры!$C$16</f>
        <v>588500</v>
      </c>
      <c r="J36" s="15">
        <f>Параметры!$C$27</f>
        <v>683060.10928961751</v>
      </c>
      <c r="K36" s="15">
        <f>MAX(0,Параметры!$C$20-Параметры!$C$27*MAX(0,A36-Параметры!$C$11-1))*Параметры!$C$15/12</f>
        <v>272996.35701275041</v>
      </c>
      <c r="L36" s="15">
        <f t="shared" si="4"/>
        <v>4340443.5336976321</v>
      </c>
      <c r="M36" s="15">
        <f>T35*Параметры!$C$10/12</f>
        <v>203187.78417400946</v>
      </c>
      <c r="N36" s="15">
        <f t="shared" si="5"/>
        <v>4137255.7495236229</v>
      </c>
      <c r="O36" s="15">
        <f>MAX(0,N36*Параметры!$C$14)</f>
        <v>827451.14990472468</v>
      </c>
      <c r="P36" s="15">
        <f t="shared" si="6"/>
        <v>3309804.5996188982</v>
      </c>
      <c r="Q36" s="15">
        <v>0</v>
      </c>
      <c r="R36" s="15">
        <v>0</v>
      </c>
      <c r="S36" s="15">
        <f>MAX(0,MIN(Параметры!$C$26-M36,T35))</f>
        <v>2600522.4510708191</v>
      </c>
      <c r="T36" s="15">
        <f t="shared" si="7"/>
        <v>9590744.5993697476</v>
      </c>
      <c r="U36" s="15">
        <f t="shared" si="8"/>
        <v>97642.257837696932</v>
      </c>
      <c r="V36" s="15">
        <f t="shared" si="9"/>
        <v>2884904.5231543696</v>
      </c>
    </row>
    <row r="37" spans="1:22" x14ac:dyDescent="0.25">
      <c r="A37" s="16">
        <v>36</v>
      </c>
      <c r="B37" s="16" t="s">
        <v>97</v>
      </c>
      <c r="C37" s="17" t="s">
        <v>68</v>
      </c>
      <c r="D37" s="11">
        <f>Параметры!$C$4*Параметры!$C$7*(1+Параметры!$C$8)^INT((A37-Параметры!$C$11-1)/12)</f>
        <v>7179700</v>
      </c>
      <c r="E37" s="11">
        <f>D37/(1+Параметры!$C$13)</f>
        <v>5885000</v>
      </c>
      <c r="F37" s="11">
        <f t="shared" si="2"/>
        <v>1294700</v>
      </c>
      <c r="G37" s="11">
        <f>IF(AND(A37&gt;Параметры!$C$11,A37&lt;=Параметры!$C$11+3),Параметры!$C$28,0)</f>
        <v>0</v>
      </c>
      <c r="H37" s="11">
        <f t="shared" si="3"/>
        <v>1294700</v>
      </c>
      <c r="I37" s="11">
        <f>E37*Параметры!$C$16</f>
        <v>588500</v>
      </c>
      <c r="J37" s="11">
        <f>Параметры!$C$27</f>
        <v>683060.10928961751</v>
      </c>
      <c r="K37" s="11">
        <f>MAX(0,Параметры!$C$20-Параметры!$C$27*MAX(0,A37-Параметры!$C$11-1))*Параметры!$C$15/12</f>
        <v>271744.08014571946</v>
      </c>
      <c r="L37" s="11">
        <f t="shared" si="4"/>
        <v>4341695.8105646633</v>
      </c>
      <c r="M37" s="11">
        <f>T36*Параметры!$C$10/12</f>
        <v>159845.74332282913</v>
      </c>
      <c r="N37" s="11">
        <f t="shared" si="5"/>
        <v>4181850.067241834</v>
      </c>
      <c r="O37" s="11">
        <f>MAX(0,N37*Параметры!$C$14)</f>
        <v>836370.0134483669</v>
      </c>
      <c r="P37" s="11">
        <f t="shared" si="6"/>
        <v>3345480.0537934671</v>
      </c>
      <c r="Q37" s="11">
        <v>0</v>
      </c>
      <c r="R37" s="11">
        <v>0</v>
      </c>
      <c r="S37" s="11">
        <f>MAX(0,MIN(Параметры!$C$26-M37,T36))</f>
        <v>2643864.4919219995</v>
      </c>
      <c r="T37" s="11">
        <f t="shared" si="7"/>
        <v>6946880.1074477481</v>
      </c>
      <c r="U37" s="11">
        <f t="shared" si="8"/>
        <v>89975.671161085367</v>
      </c>
      <c r="V37" s="11">
        <f t="shared" si="9"/>
        <v>2974880.1943154549</v>
      </c>
    </row>
    <row r="38" spans="1:22" x14ac:dyDescent="0.25">
      <c r="A38" s="13">
        <v>37</v>
      </c>
      <c r="B38" s="13" t="s">
        <v>98</v>
      </c>
      <c r="C38" s="14" t="s">
        <v>68</v>
      </c>
      <c r="D38" s="15">
        <f>Параметры!$C$4*Параметры!$C$7*(1+Параметры!$C$8)^INT((A38-Параметры!$C$11-1)/12)</f>
        <v>7682279</v>
      </c>
      <c r="E38" s="15">
        <f>D38/(1+Параметры!$C$13)</f>
        <v>6296950</v>
      </c>
      <c r="F38" s="15">
        <f t="shared" si="2"/>
        <v>1385329</v>
      </c>
      <c r="G38" s="15">
        <f>IF(AND(A38&gt;Параметры!$C$11,A38&lt;=Параметры!$C$11+3),Параметры!$C$28,0)</f>
        <v>0</v>
      </c>
      <c r="H38" s="15">
        <f t="shared" si="3"/>
        <v>1385329</v>
      </c>
      <c r="I38" s="15">
        <f>E38*Параметры!$C$16</f>
        <v>629695</v>
      </c>
      <c r="J38" s="15">
        <f>Параметры!$C$27</f>
        <v>683060.10928961751</v>
      </c>
      <c r="K38" s="15">
        <f>MAX(0,Параметры!$C$20-Параметры!$C$27*MAX(0,A38-Параметры!$C$11-1))*Параметры!$C$15/12</f>
        <v>270491.80327868852</v>
      </c>
      <c r="L38" s="15">
        <f t="shared" si="4"/>
        <v>4713703.0874316944</v>
      </c>
      <c r="M38" s="15">
        <f>T37*Параметры!$C$10/12</f>
        <v>115781.33512412914</v>
      </c>
      <c r="N38" s="15">
        <f t="shared" si="5"/>
        <v>4597921.752307565</v>
      </c>
      <c r="O38" s="15">
        <f>MAX(0,N38*Параметры!$C$14)</f>
        <v>919584.35046151304</v>
      </c>
      <c r="P38" s="15">
        <f t="shared" si="6"/>
        <v>3678337.4018460521</v>
      </c>
      <c r="Q38" s="15">
        <v>0</v>
      </c>
      <c r="R38" s="15">
        <v>0</v>
      </c>
      <c r="S38" s="15">
        <f>MAX(0,MIN(Параметры!$C$26-M38,T37))</f>
        <v>2687928.9001206998</v>
      </c>
      <c r="T38" s="15">
        <f t="shared" si="7"/>
        <v>4258951.2073270483</v>
      </c>
      <c r="U38" s="15">
        <f t="shared" si="8"/>
        <v>288139.61101496965</v>
      </c>
      <c r="V38" s="15">
        <f t="shared" si="9"/>
        <v>3263019.8053304246</v>
      </c>
    </row>
    <row r="39" spans="1:22" x14ac:dyDescent="0.25">
      <c r="A39" s="16">
        <v>38</v>
      </c>
      <c r="B39" s="16" t="s">
        <v>99</v>
      </c>
      <c r="C39" s="17" t="s">
        <v>68</v>
      </c>
      <c r="D39" s="11">
        <f>Параметры!$C$4*Параметры!$C$7*(1+Параметры!$C$8)^INT((A39-Параметры!$C$11-1)/12)</f>
        <v>7682279</v>
      </c>
      <c r="E39" s="11">
        <f>D39/(1+Параметры!$C$13)</f>
        <v>6296950</v>
      </c>
      <c r="F39" s="11">
        <f t="shared" si="2"/>
        <v>1385329</v>
      </c>
      <c r="G39" s="11">
        <f>IF(AND(A39&gt;Параметры!$C$11,A39&lt;=Параметры!$C$11+3),Параметры!$C$28,0)</f>
        <v>0</v>
      </c>
      <c r="H39" s="11">
        <f t="shared" si="3"/>
        <v>1385329</v>
      </c>
      <c r="I39" s="11">
        <f>E39*Параметры!$C$16</f>
        <v>629695</v>
      </c>
      <c r="J39" s="11">
        <f>Параметры!$C$27</f>
        <v>683060.10928961751</v>
      </c>
      <c r="K39" s="11">
        <f>MAX(0,Параметры!$C$20-Параметры!$C$27*MAX(0,A39-Параметры!$C$11-1))*Параметры!$C$15/12</f>
        <v>269239.52641165751</v>
      </c>
      <c r="L39" s="11">
        <f t="shared" si="4"/>
        <v>4714955.3642987255</v>
      </c>
      <c r="M39" s="11">
        <f>T38*Параметры!$C$10/12</f>
        <v>70982.520122117479</v>
      </c>
      <c r="N39" s="11">
        <f t="shared" si="5"/>
        <v>4643972.8441766081</v>
      </c>
      <c r="O39" s="11">
        <f>MAX(0,N39*Параметры!$C$14)</f>
        <v>928794.5688353217</v>
      </c>
      <c r="P39" s="11">
        <f t="shared" si="6"/>
        <v>3715178.2753412863</v>
      </c>
      <c r="Q39" s="11">
        <v>0</v>
      </c>
      <c r="R39" s="11">
        <v>0</v>
      </c>
      <c r="S39" s="11">
        <f>MAX(0,MIN(Параметры!$C$26-M39,T38))</f>
        <v>2732727.7151227114</v>
      </c>
      <c r="T39" s="11">
        <f t="shared" si="7"/>
        <v>1526223.4922043369</v>
      </c>
      <c r="U39" s="11">
        <f t="shared" si="8"/>
        <v>280181.66950819222</v>
      </c>
      <c r="V39" s="11">
        <f t="shared" si="9"/>
        <v>3543201.4748386168</v>
      </c>
    </row>
    <row r="40" spans="1:22" x14ac:dyDescent="0.25">
      <c r="A40" s="13">
        <v>39</v>
      </c>
      <c r="B40" s="13" t="s">
        <v>100</v>
      </c>
      <c r="C40" s="14" t="s">
        <v>68</v>
      </c>
      <c r="D40" s="15">
        <f>Параметры!$C$4*Параметры!$C$7*(1+Параметры!$C$8)^INT((A40-Параметры!$C$11-1)/12)</f>
        <v>7682279</v>
      </c>
      <c r="E40" s="15">
        <f>D40/(1+Параметры!$C$13)</f>
        <v>6296950</v>
      </c>
      <c r="F40" s="15">
        <f t="shared" ref="F40:F71" si="10">D40-E40</f>
        <v>1385329</v>
      </c>
      <c r="G40" s="15">
        <f>IF(AND(A40&gt;Параметры!$C$11,A40&lt;=Параметры!$C$11+3),Параметры!$C$28,0)</f>
        <v>0</v>
      </c>
      <c r="H40" s="15">
        <f t="shared" ref="H40:H71" si="11">F40-G40</f>
        <v>1385329</v>
      </c>
      <c r="I40" s="15">
        <f>E40*Параметры!$C$16</f>
        <v>629695</v>
      </c>
      <c r="J40" s="15">
        <f>Параметры!$C$27</f>
        <v>683060.10928961751</v>
      </c>
      <c r="K40" s="15">
        <f>MAX(0,Параметры!$C$20-Параметры!$C$27*MAX(0,A40-Параметры!$C$11-1))*Параметры!$C$15/12</f>
        <v>267987.24954462657</v>
      </c>
      <c r="L40" s="15">
        <f t="shared" ref="L40:L71" si="12">E40-I40-J40-K40</f>
        <v>4716207.6411657557</v>
      </c>
      <c r="M40" s="15">
        <f>T39*Параметры!$C$10/12</f>
        <v>25437.058203405617</v>
      </c>
      <c r="N40" s="15">
        <f t="shared" ref="N40:N71" si="13">L40-M40</f>
        <v>4690770.58296235</v>
      </c>
      <c r="O40" s="15">
        <f>MAX(0,N40*Параметры!$C$14)</f>
        <v>938154.11659247009</v>
      </c>
      <c r="P40" s="15">
        <f t="shared" ref="P40:P71" si="14">N40-O40</f>
        <v>3752616.4663698799</v>
      </c>
      <c r="Q40" s="15">
        <v>0</v>
      </c>
      <c r="R40" s="15">
        <v>0</v>
      </c>
      <c r="S40" s="15">
        <f>MAX(0,MIN(Параметры!$C$26-M40,T39))</f>
        <v>1526223.4922043369</v>
      </c>
      <c r="T40" s="15">
        <f t="shared" ref="T40:T71" si="15">MAX(0,T39-S40)</f>
        <v>0</v>
      </c>
      <c r="U40" s="15">
        <f t="shared" ref="U40:U71" si="16">P40+J40-S40-H40</f>
        <v>1524124.0834551607</v>
      </c>
      <c r="V40" s="15">
        <f t="shared" si="9"/>
        <v>5067325.5582937775</v>
      </c>
    </row>
    <row r="41" spans="1:22" x14ac:dyDescent="0.25">
      <c r="A41" s="16">
        <v>40</v>
      </c>
      <c r="B41" s="16" t="s">
        <v>101</v>
      </c>
      <c r="C41" s="17" t="s">
        <v>68</v>
      </c>
      <c r="D41" s="11">
        <f>Параметры!$C$4*Параметры!$C$7*(1+Параметры!$C$8)^INT((A41-Параметры!$C$11-1)/12)</f>
        <v>7682279</v>
      </c>
      <c r="E41" s="11">
        <f>D41/(1+Параметры!$C$13)</f>
        <v>6296950</v>
      </c>
      <c r="F41" s="11">
        <f t="shared" si="10"/>
        <v>1385329</v>
      </c>
      <c r="G41" s="11">
        <f>IF(AND(A41&gt;Параметры!$C$11,A41&lt;=Параметры!$C$11+3),Параметры!$C$28,0)</f>
        <v>0</v>
      </c>
      <c r="H41" s="11">
        <f t="shared" si="11"/>
        <v>1385329</v>
      </c>
      <c r="I41" s="11">
        <f>E41*Параметры!$C$16</f>
        <v>629695</v>
      </c>
      <c r="J41" s="11">
        <f>Параметры!$C$27</f>
        <v>683060.10928961751</v>
      </c>
      <c r="K41" s="11">
        <f>MAX(0,Параметры!$C$20-Параметры!$C$27*MAX(0,A41-Параметры!$C$11-1))*Параметры!$C$15/12</f>
        <v>266734.97267759562</v>
      </c>
      <c r="L41" s="11">
        <f t="shared" si="12"/>
        <v>4717459.9180327868</v>
      </c>
      <c r="M41" s="11">
        <f>T40*Параметры!$C$10/12</f>
        <v>0</v>
      </c>
      <c r="N41" s="11">
        <f t="shared" si="13"/>
        <v>4717459.9180327868</v>
      </c>
      <c r="O41" s="11">
        <f>MAX(0,N41*Параметры!$C$14)</f>
        <v>943491.98360655736</v>
      </c>
      <c r="P41" s="11">
        <f t="shared" si="14"/>
        <v>3773967.9344262294</v>
      </c>
      <c r="Q41" s="11">
        <v>0</v>
      </c>
      <c r="R41" s="11">
        <v>0</v>
      </c>
      <c r="S41" s="11">
        <f>MAX(0,MIN(Параметры!$C$26-M41,T40))</f>
        <v>0</v>
      </c>
      <c r="T41" s="11">
        <f t="shared" si="15"/>
        <v>0</v>
      </c>
      <c r="U41" s="11">
        <f t="shared" si="16"/>
        <v>3071699.0437158467</v>
      </c>
      <c r="V41" s="11">
        <f t="shared" si="9"/>
        <v>8139024.6020096242</v>
      </c>
    </row>
    <row r="42" spans="1:22" x14ac:dyDescent="0.25">
      <c r="A42" s="13">
        <v>41</v>
      </c>
      <c r="B42" s="13" t="s">
        <v>102</v>
      </c>
      <c r="C42" s="14" t="s">
        <v>68</v>
      </c>
      <c r="D42" s="15">
        <f>Параметры!$C$4*Параметры!$C$7*(1+Параметры!$C$8)^INT((A42-Параметры!$C$11-1)/12)</f>
        <v>7682279</v>
      </c>
      <c r="E42" s="15">
        <f>D42/(1+Параметры!$C$13)</f>
        <v>6296950</v>
      </c>
      <c r="F42" s="15">
        <f t="shared" si="10"/>
        <v>1385329</v>
      </c>
      <c r="G42" s="15">
        <f>IF(AND(A42&gt;Параметры!$C$11,A42&lt;=Параметры!$C$11+3),Параметры!$C$28,0)</f>
        <v>0</v>
      </c>
      <c r="H42" s="15">
        <f t="shared" si="11"/>
        <v>1385329</v>
      </c>
      <c r="I42" s="15">
        <f>E42*Параметры!$C$16</f>
        <v>629695</v>
      </c>
      <c r="J42" s="15">
        <f>Параметры!$C$27</f>
        <v>683060.10928961751</v>
      </c>
      <c r="K42" s="15">
        <f>MAX(0,Параметры!$C$20-Параметры!$C$27*MAX(0,A42-Параметры!$C$11-1))*Параметры!$C$15/12</f>
        <v>265482.69581056462</v>
      </c>
      <c r="L42" s="15">
        <f t="shared" si="12"/>
        <v>4718712.1948998179</v>
      </c>
      <c r="M42" s="15">
        <f>T41*Параметры!$C$10/12</f>
        <v>0</v>
      </c>
      <c r="N42" s="15">
        <f t="shared" si="13"/>
        <v>4718712.1948998179</v>
      </c>
      <c r="O42" s="15">
        <f>MAX(0,N42*Параметры!$C$14)</f>
        <v>943742.43897996366</v>
      </c>
      <c r="P42" s="15">
        <f t="shared" si="14"/>
        <v>3774969.7559198542</v>
      </c>
      <c r="Q42" s="15">
        <v>0</v>
      </c>
      <c r="R42" s="15">
        <v>0</v>
      </c>
      <c r="S42" s="15">
        <f>MAX(0,MIN(Параметры!$C$26-M42,T41))</f>
        <v>0</v>
      </c>
      <c r="T42" s="15">
        <f t="shared" si="15"/>
        <v>0</v>
      </c>
      <c r="U42" s="15">
        <f t="shared" si="16"/>
        <v>3072700.8652094714</v>
      </c>
      <c r="V42" s="15">
        <f t="shared" si="9"/>
        <v>11211725.467219096</v>
      </c>
    </row>
    <row r="43" spans="1:22" x14ac:dyDescent="0.25">
      <c r="A43" s="16">
        <v>42</v>
      </c>
      <c r="B43" s="16" t="s">
        <v>103</v>
      </c>
      <c r="C43" s="17" t="s">
        <v>68</v>
      </c>
      <c r="D43" s="11">
        <f>Параметры!$C$4*Параметры!$C$7*(1+Параметры!$C$8)^INT((A43-Параметры!$C$11-1)/12)</f>
        <v>7682279</v>
      </c>
      <c r="E43" s="11">
        <f>D43/(1+Параметры!$C$13)</f>
        <v>6296950</v>
      </c>
      <c r="F43" s="11">
        <f t="shared" si="10"/>
        <v>1385329</v>
      </c>
      <c r="G43" s="11">
        <f>IF(AND(A43&gt;Параметры!$C$11,A43&lt;=Параметры!$C$11+3),Параметры!$C$28,0)</f>
        <v>0</v>
      </c>
      <c r="H43" s="11">
        <f t="shared" si="11"/>
        <v>1385329</v>
      </c>
      <c r="I43" s="11">
        <f>E43*Параметры!$C$16</f>
        <v>629695</v>
      </c>
      <c r="J43" s="11">
        <f>Параметры!$C$27</f>
        <v>683060.10928961751</v>
      </c>
      <c r="K43" s="11">
        <f>MAX(0,Параметры!$C$20-Параметры!$C$27*MAX(0,A43-Параметры!$C$11-1))*Параметры!$C$15/12</f>
        <v>264230.41894353367</v>
      </c>
      <c r="L43" s="11">
        <f t="shared" si="12"/>
        <v>4719964.471766849</v>
      </c>
      <c r="M43" s="11">
        <f>T42*Параметры!$C$10/12</f>
        <v>0</v>
      </c>
      <c r="N43" s="11">
        <f t="shared" si="13"/>
        <v>4719964.471766849</v>
      </c>
      <c r="O43" s="11">
        <f>MAX(0,N43*Параметры!$C$14)</f>
        <v>943992.89435336983</v>
      </c>
      <c r="P43" s="11">
        <f t="shared" si="14"/>
        <v>3775971.5774134793</v>
      </c>
      <c r="Q43" s="11">
        <v>0</v>
      </c>
      <c r="R43" s="11">
        <v>0</v>
      </c>
      <c r="S43" s="11">
        <f>MAX(0,MIN(Параметры!$C$26-M43,T42))</f>
        <v>0</v>
      </c>
      <c r="T43" s="11">
        <f t="shared" si="15"/>
        <v>0</v>
      </c>
      <c r="U43" s="11">
        <f t="shared" si="16"/>
        <v>3073702.6867030971</v>
      </c>
      <c r="V43" s="11">
        <f t="shared" si="9"/>
        <v>14285428.153922193</v>
      </c>
    </row>
    <row r="44" spans="1:22" x14ac:dyDescent="0.25">
      <c r="A44" s="13">
        <v>43</v>
      </c>
      <c r="B44" s="13" t="s">
        <v>104</v>
      </c>
      <c r="C44" s="14" t="s">
        <v>68</v>
      </c>
      <c r="D44" s="15">
        <f>Параметры!$C$4*Параметры!$C$7*(1+Параметры!$C$8)^INT((A44-Параметры!$C$11-1)/12)</f>
        <v>7682279</v>
      </c>
      <c r="E44" s="15">
        <f>D44/(1+Параметры!$C$13)</f>
        <v>6296950</v>
      </c>
      <c r="F44" s="15">
        <f t="shared" si="10"/>
        <v>1385329</v>
      </c>
      <c r="G44" s="15">
        <f>IF(AND(A44&gt;Параметры!$C$11,A44&lt;=Параметры!$C$11+3),Параметры!$C$28,0)</f>
        <v>0</v>
      </c>
      <c r="H44" s="15">
        <f t="shared" si="11"/>
        <v>1385329</v>
      </c>
      <c r="I44" s="15">
        <f>E44*Параметры!$C$16</f>
        <v>629695</v>
      </c>
      <c r="J44" s="15">
        <f>Параметры!$C$27</f>
        <v>683060.10928961751</v>
      </c>
      <c r="K44" s="15">
        <f>MAX(0,Параметры!$C$20-Параметры!$C$27*MAX(0,A44-Параметры!$C$11-1))*Параметры!$C$15/12</f>
        <v>262978.14207650273</v>
      </c>
      <c r="L44" s="15">
        <f t="shared" si="12"/>
        <v>4721216.7486338802</v>
      </c>
      <c r="M44" s="15">
        <f>T43*Параметры!$C$10/12</f>
        <v>0</v>
      </c>
      <c r="N44" s="15">
        <f t="shared" si="13"/>
        <v>4721216.7486338802</v>
      </c>
      <c r="O44" s="15">
        <f>MAX(0,N44*Параметры!$C$14)</f>
        <v>944243.34972677613</v>
      </c>
      <c r="P44" s="15">
        <f t="shared" si="14"/>
        <v>3776973.398907104</v>
      </c>
      <c r="Q44" s="15">
        <v>0</v>
      </c>
      <c r="R44" s="15">
        <v>0</v>
      </c>
      <c r="S44" s="15">
        <f>MAX(0,MIN(Параметры!$C$26-M44,T43))</f>
        <v>0</v>
      </c>
      <c r="T44" s="15">
        <f t="shared" si="15"/>
        <v>0</v>
      </c>
      <c r="U44" s="15">
        <f t="shared" si="16"/>
        <v>3074704.5081967218</v>
      </c>
      <c r="V44" s="15">
        <f t="shared" si="9"/>
        <v>17360132.662118915</v>
      </c>
    </row>
    <row r="45" spans="1:22" x14ac:dyDescent="0.25">
      <c r="A45" s="16">
        <v>44</v>
      </c>
      <c r="B45" s="16" t="s">
        <v>105</v>
      </c>
      <c r="C45" s="17" t="s">
        <v>68</v>
      </c>
      <c r="D45" s="11">
        <f>Параметры!$C$4*Параметры!$C$7*(1+Параметры!$C$8)^INT((A45-Параметры!$C$11-1)/12)</f>
        <v>7682279</v>
      </c>
      <c r="E45" s="11">
        <f>D45/(1+Параметры!$C$13)</f>
        <v>6296950</v>
      </c>
      <c r="F45" s="11">
        <f t="shared" si="10"/>
        <v>1385329</v>
      </c>
      <c r="G45" s="11">
        <f>IF(AND(A45&gt;Параметры!$C$11,A45&lt;=Параметры!$C$11+3),Параметры!$C$28,0)</f>
        <v>0</v>
      </c>
      <c r="H45" s="11">
        <f t="shared" si="11"/>
        <v>1385329</v>
      </c>
      <c r="I45" s="11">
        <f>E45*Параметры!$C$16</f>
        <v>629695</v>
      </c>
      <c r="J45" s="11">
        <f>Параметры!$C$27</f>
        <v>683060.10928961751</v>
      </c>
      <c r="K45" s="11">
        <f>MAX(0,Параметры!$C$20-Параметры!$C$27*MAX(0,A45-Параметры!$C$11-1))*Параметры!$C$15/12</f>
        <v>261725.86520947175</v>
      </c>
      <c r="L45" s="11">
        <f t="shared" si="12"/>
        <v>4722469.0255009113</v>
      </c>
      <c r="M45" s="11">
        <f>T44*Параметры!$C$10/12</f>
        <v>0</v>
      </c>
      <c r="N45" s="11">
        <f t="shared" si="13"/>
        <v>4722469.0255009113</v>
      </c>
      <c r="O45" s="11">
        <f>MAX(0,N45*Параметры!$C$14)</f>
        <v>944493.8051001823</v>
      </c>
      <c r="P45" s="11">
        <f t="shared" si="14"/>
        <v>3777975.2204007292</v>
      </c>
      <c r="Q45" s="11">
        <v>0</v>
      </c>
      <c r="R45" s="11">
        <v>0</v>
      </c>
      <c r="S45" s="11">
        <f>MAX(0,MIN(Параметры!$C$26-M45,T44))</f>
        <v>0</v>
      </c>
      <c r="T45" s="11">
        <f t="shared" si="15"/>
        <v>0</v>
      </c>
      <c r="U45" s="11">
        <f t="shared" si="16"/>
        <v>3075706.3296903465</v>
      </c>
      <c r="V45" s="11">
        <f t="shared" si="9"/>
        <v>20435838.991809264</v>
      </c>
    </row>
    <row r="46" spans="1:22" x14ac:dyDescent="0.25">
      <c r="A46" s="13">
        <v>45</v>
      </c>
      <c r="B46" s="13" t="s">
        <v>106</v>
      </c>
      <c r="C46" s="14" t="s">
        <v>68</v>
      </c>
      <c r="D46" s="15">
        <f>Параметры!$C$4*Параметры!$C$7*(1+Параметры!$C$8)^INT((A46-Параметры!$C$11-1)/12)</f>
        <v>7682279</v>
      </c>
      <c r="E46" s="15">
        <f>D46/(1+Параметры!$C$13)</f>
        <v>6296950</v>
      </c>
      <c r="F46" s="15">
        <f t="shared" si="10"/>
        <v>1385329</v>
      </c>
      <c r="G46" s="15">
        <f>IF(AND(A46&gt;Параметры!$C$11,A46&lt;=Параметры!$C$11+3),Параметры!$C$28,0)</f>
        <v>0</v>
      </c>
      <c r="H46" s="15">
        <f t="shared" si="11"/>
        <v>1385329</v>
      </c>
      <c r="I46" s="15">
        <f>E46*Параметры!$C$16</f>
        <v>629695</v>
      </c>
      <c r="J46" s="15">
        <f>Параметры!$C$27</f>
        <v>683060.10928961751</v>
      </c>
      <c r="K46" s="15">
        <f>MAX(0,Параметры!$C$20-Параметры!$C$27*MAX(0,A46-Параметры!$C$11-1))*Параметры!$C$15/12</f>
        <v>260473.58834244078</v>
      </c>
      <c r="L46" s="15">
        <f t="shared" si="12"/>
        <v>4723721.3023679424</v>
      </c>
      <c r="M46" s="15">
        <f>T45*Параметры!$C$10/12</f>
        <v>0</v>
      </c>
      <c r="N46" s="15">
        <f t="shared" si="13"/>
        <v>4723721.3023679424</v>
      </c>
      <c r="O46" s="15">
        <f>MAX(0,N46*Параметры!$C$14)</f>
        <v>944744.26047358848</v>
      </c>
      <c r="P46" s="15">
        <f t="shared" si="14"/>
        <v>3778977.0418943539</v>
      </c>
      <c r="Q46" s="15">
        <v>0</v>
      </c>
      <c r="R46" s="15">
        <v>0</v>
      </c>
      <c r="S46" s="15">
        <f>MAX(0,MIN(Параметры!$C$26-M46,T45))</f>
        <v>0</v>
      </c>
      <c r="T46" s="15">
        <f t="shared" si="15"/>
        <v>0</v>
      </c>
      <c r="U46" s="15">
        <f t="shared" si="16"/>
        <v>3076708.1511839712</v>
      </c>
      <c r="V46" s="15">
        <f t="shared" si="9"/>
        <v>23512547.142993234</v>
      </c>
    </row>
    <row r="47" spans="1:22" x14ac:dyDescent="0.25">
      <c r="A47" s="16">
        <v>46</v>
      </c>
      <c r="B47" s="16" t="s">
        <v>107</v>
      </c>
      <c r="C47" s="17" t="s">
        <v>68</v>
      </c>
      <c r="D47" s="11">
        <f>Параметры!$C$4*Параметры!$C$7*(1+Параметры!$C$8)^INT((A47-Параметры!$C$11-1)/12)</f>
        <v>7682279</v>
      </c>
      <c r="E47" s="11">
        <f>D47/(1+Параметры!$C$13)</f>
        <v>6296950</v>
      </c>
      <c r="F47" s="11">
        <f t="shared" si="10"/>
        <v>1385329</v>
      </c>
      <c r="G47" s="11">
        <f>IF(AND(A47&gt;Параметры!$C$11,A47&lt;=Параметры!$C$11+3),Параметры!$C$28,0)</f>
        <v>0</v>
      </c>
      <c r="H47" s="11">
        <f t="shared" si="11"/>
        <v>1385329</v>
      </c>
      <c r="I47" s="11">
        <f>E47*Параметры!$C$16</f>
        <v>629695</v>
      </c>
      <c r="J47" s="11">
        <f>Параметры!$C$27</f>
        <v>683060.10928961751</v>
      </c>
      <c r="K47" s="11">
        <f>MAX(0,Параметры!$C$20-Параметры!$C$27*MAX(0,A47-Параметры!$C$11-1))*Параметры!$C$15/12</f>
        <v>259221.31147540981</v>
      </c>
      <c r="L47" s="11">
        <f t="shared" si="12"/>
        <v>4724973.5792349726</v>
      </c>
      <c r="M47" s="11">
        <f>T46*Параметры!$C$10/12</f>
        <v>0</v>
      </c>
      <c r="N47" s="11">
        <f t="shared" si="13"/>
        <v>4724973.5792349726</v>
      </c>
      <c r="O47" s="11">
        <f>MAX(0,N47*Параметры!$C$14)</f>
        <v>944994.71584699454</v>
      </c>
      <c r="P47" s="11">
        <f t="shared" si="14"/>
        <v>3779978.8633879782</v>
      </c>
      <c r="Q47" s="11">
        <v>0</v>
      </c>
      <c r="R47" s="11">
        <v>0</v>
      </c>
      <c r="S47" s="11">
        <f>MAX(0,MIN(Параметры!$C$26-M47,T46))</f>
        <v>0</v>
      </c>
      <c r="T47" s="11">
        <f t="shared" si="15"/>
        <v>0</v>
      </c>
      <c r="U47" s="11">
        <f t="shared" si="16"/>
        <v>3077709.9726775959</v>
      </c>
      <c r="V47" s="11">
        <f t="shared" si="9"/>
        <v>26590257.11567083</v>
      </c>
    </row>
    <row r="48" spans="1:22" x14ac:dyDescent="0.25">
      <c r="A48" s="13">
        <v>47</v>
      </c>
      <c r="B48" s="13" t="s">
        <v>108</v>
      </c>
      <c r="C48" s="14" t="s">
        <v>68</v>
      </c>
      <c r="D48" s="15">
        <f>Параметры!$C$4*Параметры!$C$7*(1+Параметры!$C$8)^INT((A48-Параметры!$C$11-1)/12)</f>
        <v>7682279</v>
      </c>
      <c r="E48" s="15">
        <f>D48/(1+Параметры!$C$13)</f>
        <v>6296950</v>
      </c>
      <c r="F48" s="15">
        <f t="shared" si="10"/>
        <v>1385329</v>
      </c>
      <c r="G48" s="15">
        <f>IF(AND(A48&gt;Параметры!$C$11,A48&lt;=Параметры!$C$11+3),Параметры!$C$28,0)</f>
        <v>0</v>
      </c>
      <c r="H48" s="15">
        <f t="shared" si="11"/>
        <v>1385329</v>
      </c>
      <c r="I48" s="15">
        <f>E48*Параметры!$C$16</f>
        <v>629695</v>
      </c>
      <c r="J48" s="15">
        <f>Параметры!$C$27</f>
        <v>683060.10928961751</v>
      </c>
      <c r="K48" s="15">
        <f>MAX(0,Параметры!$C$20-Параметры!$C$27*MAX(0,A48-Параметры!$C$11-1))*Параметры!$C$15/12</f>
        <v>257969.03460837886</v>
      </c>
      <c r="L48" s="15">
        <f t="shared" si="12"/>
        <v>4726225.8561020037</v>
      </c>
      <c r="M48" s="15">
        <f>T47*Параметры!$C$10/12</f>
        <v>0</v>
      </c>
      <c r="N48" s="15">
        <f t="shared" si="13"/>
        <v>4726225.8561020037</v>
      </c>
      <c r="O48" s="15">
        <f>MAX(0,N48*Параметры!$C$14)</f>
        <v>945245.17122040084</v>
      </c>
      <c r="P48" s="15">
        <f t="shared" si="14"/>
        <v>3780980.6848816029</v>
      </c>
      <c r="Q48" s="15">
        <v>0</v>
      </c>
      <c r="R48" s="15">
        <v>0</v>
      </c>
      <c r="S48" s="15">
        <f>MAX(0,MIN(Параметры!$C$26-M48,T47))</f>
        <v>0</v>
      </c>
      <c r="T48" s="15">
        <f t="shared" si="15"/>
        <v>0</v>
      </c>
      <c r="U48" s="15">
        <f t="shared" si="16"/>
        <v>3078711.7941712206</v>
      </c>
      <c r="V48" s="15">
        <f t="shared" si="9"/>
        <v>29668968.909842052</v>
      </c>
    </row>
    <row r="49" spans="1:22" x14ac:dyDescent="0.25">
      <c r="A49" s="16">
        <v>48</v>
      </c>
      <c r="B49" s="16" t="s">
        <v>109</v>
      </c>
      <c r="C49" s="17" t="s">
        <v>68</v>
      </c>
      <c r="D49" s="11">
        <f>Параметры!$C$4*Параметры!$C$7*(1+Параметры!$C$8)^INT((A49-Параметры!$C$11-1)/12)</f>
        <v>7682279</v>
      </c>
      <c r="E49" s="11">
        <f>D49/(1+Параметры!$C$13)</f>
        <v>6296950</v>
      </c>
      <c r="F49" s="11">
        <f t="shared" si="10"/>
        <v>1385329</v>
      </c>
      <c r="G49" s="11">
        <f>IF(AND(A49&gt;Параметры!$C$11,A49&lt;=Параметры!$C$11+3),Параметры!$C$28,0)</f>
        <v>0</v>
      </c>
      <c r="H49" s="11">
        <f t="shared" si="11"/>
        <v>1385329</v>
      </c>
      <c r="I49" s="11">
        <f>E49*Параметры!$C$16</f>
        <v>629695</v>
      </c>
      <c r="J49" s="11">
        <f>Параметры!$C$27</f>
        <v>683060.10928961751</v>
      </c>
      <c r="K49" s="11">
        <f>MAX(0,Параметры!$C$20-Параметры!$C$27*MAX(0,A49-Параметры!$C$11-1))*Параметры!$C$15/12</f>
        <v>256716.75774134789</v>
      </c>
      <c r="L49" s="11">
        <f t="shared" si="12"/>
        <v>4727478.1329690348</v>
      </c>
      <c r="M49" s="11">
        <f>T48*Параметры!$C$10/12</f>
        <v>0</v>
      </c>
      <c r="N49" s="11">
        <f t="shared" si="13"/>
        <v>4727478.1329690348</v>
      </c>
      <c r="O49" s="11">
        <f>MAX(0,N49*Параметры!$C$14)</f>
        <v>945495.62659380701</v>
      </c>
      <c r="P49" s="11">
        <f t="shared" si="14"/>
        <v>3781982.5063752281</v>
      </c>
      <c r="Q49" s="11">
        <v>0</v>
      </c>
      <c r="R49" s="11">
        <v>0</v>
      </c>
      <c r="S49" s="11">
        <f>MAX(0,MIN(Параметры!$C$26-M49,T48))</f>
        <v>0</v>
      </c>
      <c r="T49" s="11">
        <f t="shared" si="15"/>
        <v>0</v>
      </c>
      <c r="U49" s="11">
        <f t="shared" si="16"/>
        <v>3079713.6156648453</v>
      </c>
      <c r="V49" s="11">
        <f t="shared" si="9"/>
        <v>32748682.525506899</v>
      </c>
    </row>
    <row r="50" spans="1:22" x14ac:dyDescent="0.25">
      <c r="A50" s="13">
        <v>49</v>
      </c>
      <c r="B50" s="13" t="s">
        <v>110</v>
      </c>
      <c r="C50" s="14" t="s">
        <v>68</v>
      </c>
      <c r="D50" s="15">
        <f>Параметры!$C$4*Параметры!$C$7*(1+Параметры!$C$8)^INT((A50-Параметры!$C$11-1)/12)</f>
        <v>8220038.5300000003</v>
      </c>
      <c r="E50" s="15">
        <f>D50/(1+Параметры!$C$13)</f>
        <v>6737736.5</v>
      </c>
      <c r="F50" s="15">
        <f t="shared" si="10"/>
        <v>1482302.0300000003</v>
      </c>
      <c r="G50" s="15">
        <f>IF(AND(A50&gt;Параметры!$C$11,A50&lt;=Параметры!$C$11+3),Параметры!$C$28,0)</f>
        <v>0</v>
      </c>
      <c r="H50" s="15">
        <f t="shared" si="11"/>
        <v>1482302.0300000003</v>
      </c>
      <c r="I50" s="15">
        <f>E50*Параметры!$C$16</f>
        <v>673773.65</v>
      </c>
      <c r="J50" s="15">
        <f>Параметры!$C$27</f>
        <v>683060.10928961751</v>
      </c>
      <c r="K50" s="15">
        <f>MAX(0,Параметры!$C$20-Параметры!$C$27*MAX(0,A50-Параметры!$C$11-1))*Параметры!$C$15/12</f>
        <v>255464.48087431691</v>
      </c>
      <c r="L50" s="15">
        <f t="shared" si="12"/>
        <v>5125438.2598360656</v>
      </c>
      <c r="M50" s="15">
        <f>T49*Параметры!$C$10/12</f>
        <v>0</v>
      </c>
      <c r="N50" s="15">
        <f t="shared" si="13"/>
        <v>5125438.2598360656</v>
      </c>
      <c r="O50" s="15">
        <f>MAX(0,N50*Параметры!$C$14)</f>
        <v>1025087.6519672131</v>
      </c>
      <c r="P50" s="15">
        <f t="shared" si="14"/>
        <v>4100350.6078688526</v>
      </c>
      <c r="Q50" s="15">
        <v>0</v>
      </c>
      <c r="R50" s="15">
        <v>0</v>
      </c>
      <c r="S50" s="15">
        <f>MAX(0,MIN(Параметры!$C$26-M50,T49))</f>
        <v>0</v>
      </c>
      <c r="T50" s="15">
        <f t="shared" si="15"/>
        <v>0</v>
      </c>
      <c r="U50" s="15">
        <f t="shared" si="16"/>
        <v>3301108.68715847</v>
      </c>
      <c r="V50" s="15">
        <f t="shared" si="9"/>
        <v>36049791.212665372</v>
      </c>
    </row>
    <row r="51" spans="1:22" x14ac:dyDescent="0.25">
      <c r="A51" s="16">
        <v>50</v>
      </c>
      <c r="B51" s="16" t="s">
        <v>111</v>
      </c>
      <c r="C51" s="17" t="s">
        <v>68</v>
      </c>
      <c r="D51" s="11">
        <f>Параметры!$C$4*Параметры!$C$7*(1+Параметры!$C$8)^INT((A51-Параметры!$C$11-1)/12)</f>
        <v>8220038.5300000003</v>
      </c>
      <c r="E51" s="11">
        <f>D51/(1+Параметры!$C$13)</f>
        <v>6737736.5</v>
      </c>
      <c r="F51" s="11">
        <f t="shared" si="10"/>
        <v>1482302.0300000003</v>
      </c>
      <c r="G51" s="11">
        <f>IF(AND(A51&gt;Параметры!$C$11,A51&lt;=Параметры!$C$11+3),Параметры!$C$28,0)</f>
        <v>0</v>
      </c>
      <c r="H51" s="11">
        <f t="shared" si="11"/>
        <v>1482302.0300000003</v>
      </c>
      <c r="I51" s="11">
        <f>E51*Параметры!$C$16</f>
        <v>673773.65</v>
      </c>
      <c r="J51" s="11">
        <f>Параметры!$C$27</f>
        <v>683060.10928961751</v>
      </c>
      <c r="K51" s="11">
        <f>MAX(0,Параметры!$C$20-Параметры!$C$27*MAX(0,A51-Параметры!$C$11-1))*Параметры!$C$15/12</f>
        <v>254212.20400728591</v>
      </c>
      <c r="L51" s="11">
        <f t="shared" si="12"/>
        <v>5126690.5367030967</v>
      </c>
      <c r="M51" s="11">
        <f>T50*Параметры!$C$10/12</f>
        <v>0</v>
      </c>
      <c r="N51" s="11">
        <f t="shared" si="13"/>
        <v>5126690.5367030967</v>
      </c>
      <c r="O51" s="11">
        <f>MAX(0,N51*Параметры!$C$14)</f>
        <v>1025338.1073406194</v>
      </c>
      <c r="P51" s="11">
        <f t="shared" si="14"/>
        <v>4101352.4293624773</v>
      </c>
      <c r="Q51" s="11">
        <v>0</v>
      </c>
      <c r="R51" s="11">
        <v>0</v>
      </c>
      <c r="S51" s="11">
        <f>MAX(0,MIN(Параметры!$C$26-M51,T50))</f>
        <v>0</v>
      </c>
      <c r="T51" s="11">
        <f t="shared" si="15"/>
        <v>0</v>
      </c>
      <c r="U51" s="11">
        <f t="shared" si="16"/>
        <v>3302110.5086520948</v>
      </c>
      <c r="V51" s="11">
        <f t="shared" si="9"/>
        <v>39351901.72131747</v>
      </c>
    </row>
    <row r="52" spans="1:22" x14ac:dyDescent="0.25">
      <c r="A52" s="13">
        <v>51</v>
      </c>
      <c r="B52" s="13" t="s">
        <v>112</v>
      </c>
      <c r="C52" s="14" t="s">
        <v>68</v>
      </c>
      <c r="D52" s="15">
        <f>Параметры!$C$4*Параметры!$C$7*(1+Параметры!$C$8)^INT((A52-Параметры!$C$11-1)/12)</f>
        <v>8220038.5300000003</v>
      </c>
      <c r="E52" s="15">
        <f>D52/(1+Параметры!$C$13)</f>
        <v>6737736.5</v>
      </c>
      <c r="F52" s="15">
        <f t="shared" si="10"/>
        <v>1482302.0300000003</v>
      </c>
      <c r="G52" s="15">
        <f>IF(AND(A52&gt;Параметры!$C$11,A52&lt;=Параметры!$C$11+3),Параметры!$C$28,0)</f>
        <v>0</v>
      </c>
      <c r="H52" s="15">
        <f t="shared" si="11"/>
        <v>1482302.0300000003</v>
      </c>
      <c r="I52" s="15">
        <f>E52*Параметры!$C$16</f>
        <v>673773.65</v>
      </c>
      <c r="J52" s="15">
        <f>Параметры!$C$27</f>
        <v>683060.10928961751</v>
      </c>
      <c r="K52" s="15">
        <f>MAX(0,Параметры!$C$20-Параметры!$C$27*MAX(0,A52-Параметры!$C$11-1))*Параметры!$C$15/12</f>
        <v>252959.92714025499</v>
      </c>
      <c r="L52" s="15">
        <f t="shared" si="12"/>
        <v>5127942.8135701269</v>
      </c>
      <c r="M52" s="15">
        <f>T51*Параметры!$C$10/12</f>
        <v>0</v>
      </c>
      <c r="N52" s="15">
        <f t="shared" si="13"/>
        <v>5127942.8135701269</v>
      </c>
      <c r="O52" s="15">
        <f>MAX(0,N52*Параметры!$C$14)</f>
        <v>1025588.5627140254</v>
      </c>
      <c r="P52" s="15">
        <f t="shared" si="14"/>
        <v>4102354.2508561015</v>
      </c>
      <c r="Q52" s="15">
        <v>0</v>
      </c>
      <c r="R52" s="15">
        <v>0</v>
      </c>
      <c r="S52" s="15">
        <f>MAX(0,MIN(Параметры!$C$26-M52,T51))</f>
        <v>0</v>
      </c>
      <c r="T52" s="15">
        <f t="shared" si="15"/>
        <v>0</v>
      </c>
      <c r="U52" s="15">
        <f t="shared" si="16"/>
        <v>3303112.3301457185</v>
      </c>
      <c r="V52" s="15">
        <f t="shared" si="9"/>
        <v>42655014.051463187</v>
      </c>
    </row>
    <row r="53" spans="1:22" x14ac:dyDescent="0.25">
      <c r="A53" s="16">
        <v>52</v>
      </c>
      <c r="B53" s="16" t="s">
        <v>113</v>
      </c>
      <c r="C53" s="17" t="s">
        <v>68</v>
      </c>
      <c r="D53" s="11">
        <f>Параметры!$C$4*Параметры!$C$7*(1+Параметры!$C$8)^INT((A53-Параметры!$C$11-1)/12)</f>
        <v>8220038.5300000003</v>
      </c>
      <c r="E53" s="11">
        <f>D53/(1+Параметры!$C$13)</f>
        <v>6737736.5</v>
      </c>
      <c r="F53" s="11">
        <f t="shared" si="10"/>
        <v>1482302.0300000003</v>
      </c>
      <c r="G53" s="11">
        <f>IF(AND(A53&gt;Параметры!$C$11,A53&lt;=Параметры!$C$11+3),Параметры!$C$28,0)</f>
        <v>0</v>
      </c>
      <c r="H53" s="11">
        <f t="shared" si="11"/>
        <v>1482302.0300000003</v>
      </c>
      <c r="I53" s="11">
        <f>E53*Параметры!$C$16</f>
        <v>673773.65</v>
      </c>
      <c r="J53" s="11">
        <f>Параметры!$C$27</f>
        <v>683060.10928961751</v>
      </c>
      <c r="K53" s="11">
        <f>MAX(0,Параметры!$C$20-Параметры!$C$27*MAX(0,A53-Параметры!$C$11-1))*Параметры!$C$15/12</f>
        <v>251707.65027322399</v>
      </c>
      <c r="L53" s="11">
        <f t="shared" si="12"/>
        <v>5129195.090437158</v>
      </c>
      <c r="M53" s="11">
        <f>T52*Параметры!$C$10/12</f>
        <v>0</v>
      </c>
      <c r="N53" s="11">
        <f t="shared" si="13"/>
        <v>5129195.090437158</v>
      </c>
      <c r="O53" s="11">
        <f>MAX(0,N53*Параметры!$C$14)</f>
        <v>1025839.0180874317</v>
      </c>
      <c r="P53" s="11">
        <f t="shared" si="14"/>
        <v>4103356.0723497262</v>
      </c>
      <c r="Q53" s="11">
        <v>0</v>
      </c>
      <c r="R53" s="11">
        <v>0</v>
      </c>
      <c r="S53" s="11">
        <f>MAX(0,MIN(Параметры!$C$26-M53,T52))</f>
        <v>0</v>
      </c>
      <c r="T53" s="11">
        <f t="shared" si="15"/>
        <v>0</v>
      </c>
      <c r="U53" s="11">
        <f t="shared" si="16"/>
        <v>3304114.1516393432</v>
      </c>
      <c r="V53" s="11">
        <f t="shared" si="9"/>
        <v>45959128.203102529</v>
      </c>
    </row>
    <row r="54" spans="1:22" x14ac:dyDescent="0.25">
      <c r="A54" s="13">
        <v>53</v>
      </c>
      <c r="B54" s="13" t="s">
        <v>114</v>
      </c>
      <c r="C54" s="14" t="s">
        <v>68</v>
      </c>
      <c r="D54" s="15">
        <f>Параметры!$C$4*Параметры!$C$7*(1+Параметры!$C$8)^INT((A54-Параметры!$C$11-1)/12)</f>
        <v>8220038.5300000003</v>
      </c>
      <c r="E54" s="15">
        <f>D54/(1+Параметры!$C$13)</f>
        <v>6737736.5</v>
      </c>
      <c r="F54" s="15">
        <f t="shared" si="10"/>
        <v>1482302.0300000003</v>
      </c>
      <c r="G54" s="15">
        <f>IF(AND(A54&gt;Параметры!$C$11,A54&lt;=Параметры!$C$11+3),Параметры!$C$28,0)</f>
        <v>0</v>
      </c>
      <c r="H54" s="15">
        <f t="shared" si="11"/>
        <v>1482302.0300000003</v>
      </c>
      <c r="I54" s="15">
        <f>E54*Параметры!$C$16</f>
        <v>673773.65</v>
      </c>
      <c r="J54" s="15">
        <f>Параметры!$C$27</f>
        <v>683060.10928961751</v>
      </c>
      <c r="K54" s="15">
        <f>MAX(0,Параметры!$C$20-Параметры!$C$27*MAX(0,A54-Параметры!$C$11-1))*Параметры!$C$15/12</f>
        <v>250455.37340619307</v>
      </c>
      <c r="L54" s="15">
        <f t="shared" si="12"/>
        <v>5130447.3673041891</v>
      </c>
      <c r="M54" s="15">
        <f>T53*Параметры!$C$10/12</f>
        <v>0</v>
      </c>
      <c r="N54" s="15">
        <f t="shared" si="13"/>
        <v>5130447.3673041891</v>
      </c>
      <c r="O54" s="15">
        <f>MAX(0,N54*Параметры!$C$14)</f>
        <v>1026089.4734608378</v>
      </c>
      <c r="P54" s="15">
        <f t="shared" si="14"/>
        <v>4104357.8938433514</v>
      </c>
      <c r="Q54" s="15">
        <v>0</v>
      </c>
      <c r="R54" s="15">
        <v>0</v>
      </c>
      <c r="S54" s="15">
        <f>MAX(0,MIN(Параметры!$C$26-M54,T53))</f>
        <v>0</v>
      </c>
      <c r="T54" s="15">
        <f t="shared" si="15"/>
        <v>0</v>
      </c>
      <c r="U54" s="15">
        <f t="shared" si="16"/>
        <v>3305115.9731329689</v>
      </c>
      <c r="V54" s="15">
        <f t="shared" si="9"/>
        <v>49264244.176235497</v>
      </c>
    </row>
    <row r="55" spans="1:22" x14ac:dyDescent="0.25">
      <c r="A55" s="16">
        <v>54</v>
      </c>
      <c r="B55" s="16" t="s">
        <v>115</v>
      </c>
      <c r="C55" s="17" t="s">
        <v>68</v>
      </c>
      <c r="D55" s="11">
        <f>Параметры!$C$4*Параметры!$C$7*(1+Параметры!$C$8)^INT((A55-Параметры!$C$11-1)/12)</f>
        <v>8220038.5300000003</v>
      </c>
      <c r="E55" s="11">
        <f>D55/(1+Параметры!$C$13)</f>
        <v>6737736.5</v>
      </c>
      <c r="F55" s="11">
        <f t="shared" si="10"/>
        <v>1482302.0300000003</v>
      </c>
      <c r="G55" s="11">
        <f>IF(AND(A55&gt;Параметры!$C$11,A55&lt;=Параметры!$C$11+3),Параметры!$C$28,0)</f>
        <v>0</v>
      </c>
      <c r="H55" s="11">
        <f t="shared" si="11"/>
        <v>1482302.0300000003</v>
      </c>
      <c r="I55" s="11">
        <f>E55*Параметры!$C$16</f>
        <v>673773.65</v>
      </c>
      <c r="J55" s="11">
        <f>Параметры!$C$27</f>
        <v>683060.10928961751</v>
      </c>
      <c r="K55" s="11">
        <f>MAX(0,Параметры!$C$20-Параметры!$C$27*MAX(0,A55-Параметры!$C$11-1))*Параметры!$C$15/12</f>
        <v>249203.09653916207</v>
      </c>
      <c r="L55" s="11">
        <f t="shared" si="12"/>
        <v>5131699.6441712203</v>
      </c>
      <c r="M55" s="11">
        <f>T54*Параметры!$C$10/12</f>
        <v>0</v>
      </c>
      <c r="N55" s="11">
        <f t="shared" si="13"/>
        <v>5131699.6441712203</v>
      </c>
      <c r="O55" s="11">
        <f>MAX(0,N55*Параметры!$C$14)</f>
        <v>1026339.9288342441</v>
      </c>
      <c r="P55" s="11">
        <f t="shared" si="14"/>
        <v>4105359.7153369761</v>
      </c>
      <c r="Q55" s="11">
        <v>0</v>
      </c>
      <c r="R55" s="11">
        <v>0</v>
      </c>
      <c r="S55" s="11">
        <f>MAX(0,MIN(Параметры!$C$26-M55,T54))</f>
        <v>0</v>
      </c>
      <c r="T55" s="11">
        <f t="shared" si="15"/>
        <v>0</v>
      </c>
      <c r="U55" s="11">
        <f t="shared" si="16"/>
        <v>3306117.7946265936</v>
      </c>
      <c r="V55" s="11">
        <f t="shared" si="9"/>
        <v>52570361.970862091</v>
      </c>
    </row>
    <row r="56" spans="1:22" x14ac:dyDescent="0.25">
      <c r="A56" s="13">
        <v>55</v>
      </c>
      <c r="B56" s="13" t="s">
        <v>116</v>
      </c>
      <c r="C56" s="14" t="s">
        <v>68</v>
      </c>
      <c r="D56" s="15">
        <f>Параметры!$C$4*Параметры!$C$7*(1+Параметры!$C$8)^INT((A56-Параметры!$C$11-1)/12)</f>
        <v>8220038.5300000003</v>
      </c>
      <c r="E56" s="15">
        <f>D56/(1+Параметры!$C$13)</f>
        <v>6737736.5</v>
      </c>
      <c r="F56" s="15">
        <f t="shared" si="10"/>
        <v>1482302.0300000003</v>
      </c>
      <c r="G56" s="15">
        <f>IF(AND(A56&gt;Параметры!$C$11,A56&lt;=Параметры!$C$11+3),Параметры!$C$28,0)</f>
        <v>0</v>
      </c>
      <c r="H56" s="15">
        <f t="shared" si="11"/>
        <v>1482302.0300000003</v>
      </c>
      <c r="I56" s="15">
        <f>E56*Параметры!$C$16</f>
        <v>673773.65</v>
      </c>
      <c r="J56" s="15">
        <f>Параметры!$C$27</f>
        <v>683060.10928961751</v>
      </c>
      <c r="K56" s="15">
        <f>MAX(0,Параметры!$C$20-Параметры!$C$27*MAX(0,A56-Параметры!$C$11-1))*Параметры!$C$15/12</f>
        <v>247950.8196721311</v>
      </c>
      <c r="L56" s="15">
        <f t="shared" si="12"/>
        <v>5132951.9210382514</v>
      </c>
      <c r="M56" s="15">
        <f>T55*Параметры!$C$10/12</f>
        <v>0</v>
      </c>
      <c r="N56" s="15">
        <f t="shared" si="13"/>
        <v>5132951.9210382514</v>
      </c>
      <c r="O56" s="15">
        <f>MAX(0,N56*Параметры!$C$14)</f>
        <v>1026590.3842076503</v>
      </c>
      <c r="P56" s="15">
        <f t="shared" si="14"/>
        <v>4106361.5368306013</v>
      </c>
      <c r="Q56" s="15">
        <v>0</v>
      </c>
      <c r="R56" s="15">
        <v>0</v>
      </c>
      <c r="S56" s="15">
        <f>MAX(0,MIN(Параметры!$C$26-M56,T55))</f>
        <v>0</v>
      </c>
      <c r="T56" s="15">
        <f t="shared" si="15"/>
        <v>0</v>
      </c>
      <c r="U56" s="15">
        <f t="shared" si="16"/>
        <v>3307119.6161202183</v>
      </c>
      <c r="V56" s="15">
        <f t="shared" si="9"/>
        <v>55877481.58698231</v>
      </c>
    </row>
    <row r="57" spans="1:22" x14ac:dyDescent="0.25">
      <c r="A57" s="16">
        <v>56</v>
      </c>
      <c r="B57" s="16" t="s">
        <v>117</v>
      </c>
      <c r="C57" s="17" t="s">
        <v>68</v>
      </c>
      <c r="D57" s="11">
        <f>Параметры!$C$4*Параметры!$C$7*(1+Параметры!$C$8)^INT((A57-Параметры!$C$11-1)/12)</f>
        <v>8220038.5300000003</v>
      </c>
      <c r="E57" s="11">
        <f>D57/(1+Параметры!$C$13)</f>
        <v>6737736.5</v>
      </c>
      <c r="F57" s="11">
        <f t="shared" si="10"/>
        <v>1482302.0300000003</v>
      </c>
      <c r="G57" s="11">
        <f>IF(AND(A57&gt;Параметры!$C$11,A57&lt;=Параметры!$C$11+3),Параметры!$C$28,0)</f>
        <v>0</v>
      </c>
      <c r="H57" s="11">
        <f t="shared" si="11"/>
        <v>1482302.0300000003</v>
      </c>
      <c r="I57" s="11">
        <f>E57*Параметры!$C$16</f>
        <v>673773.65</v>
      </c>
      <c r="J57" s="11">
        <f>Параметры!$C$27</f>
        <v>683060.10928961751</v>
      </c>
      <c r="K57" s="11">
        <f>MAX(0,Параметры!$C$20-Параметры!$C$27*MAX(0,A57-Параметры!$C$11-1))*Параметры!$C$15/12</f>
        <v>246698.54280510012</v>
      </c>
      <c r="L57" s="11">
        <f t="shared" si="12"/>
        <v>5134204.1979052825</v>
      </c>
      <c r="M57" s="11">
        <f>T56*Параметры!$C$10/12</f>
        <v>0</v>
      </c>
      <c r="N57" s="11">
        <f t="shared" si="13"/>
        <v>5134204.1979052825</v>
      </c>
      <c r="O57" s="11">
        <f>MAX(0,N57*Параметры!$C$14)</f>
        <v>1026840.8395810565</v>
      </c>
      <c r="P57" s="11">
        <f t="shared" si="14"/>
        <v>4107363.358324226</v>
      </c>
      <c r="Q57" s="11">
        <v>0</v>
      </c>
      <c r="R57" s="11">
        <v>0</v>
      </c>
      <c r="S57" s="11">
        <f>MAX(0,MIN(Параметры!$C$26-M57,T56))</f>
        <v>0</v>
      </c>
      <c r="T57" s="11">
        <f t="shared" si="15"/>
        <v>0</v>
      </c>
      <c r="U57" s="11">
        <f t="shared" si="16"/>
        <v>3308121.437613843</v>
      </c>
      <c r="V57" s="11">
        <f t="shared" si="9"/>
        <v>59185603.024596155</v>
      </c>
    </row>
    <row r="58" spans="1:22" x14ac:dyDescent="0.25">
      <c r="A58" s="13">
        <v>57</v>
      </c>
      <c r="B58" s="13" t="s">
        <v>118</v>
      </c>
      <c r="C58" s="14" t="s">
        <v>68</v>
      </c>
      <c r="D58" s="15">
        <f>Параметры!$C$4*Параметры!$C$7*(1+Параметры!$C$8)^INT((A58-Параметры!$C$11-1)/12)</f>
        <v>8220038.5300000003</v>
      </c>
      <c r="E58" s="15">
        <f>D58/(1+Параметры!$C$13)</f>
        <v>6737736.5</v>
      </c>
      <c r="F58" s="15">
        <f t="shared" si="10"/>
        <v>1482302.0300000003</v>
      </c>
      <c r="G58" s="15">
        <f>IF(AND(A58&gt;Параметры!$C$11,A58&lt;=Параметры!$C$11+3),Параметры!$C$28,0)</f>
        <v>0</v>
      </c>
      <c r="H58" s="15">
        <f t="shared" si="11"/>
        <v>1482302.0300000003</v>
      </c>
      <c r="I58" s="15">
        <f>E58*Параметры!$C$16</f>
        <v>673773.65</v>
      </c>
      <c r="J58" s="15">
        <f>Параметры!$C$27</f>
        <v>683060.10928961751</v>
      </c>
      <c r="K58" s="15">
        <f>MAX(0,Параметры!$C$20-Параметры!$C$27*MAX(0,A58-Параметры!$C$11-1))*Параметры!$C$15/12</f>
        <v>245446.26593806918</v>
      </c>
      <c r="L58" s="15">
        <f t="shared" si="12"/>
        <v>5135456.4747723136</v>
      </c>
      <c r="M58" s="15">
        <f>T57*Параметры!$C$10/12</f>
        <v>0</v>
      </c>
      <c r="N58" s="15">
        <f t="shared" si="13"/>
        <v>5135456.4747723136</v>
      </c>
      <c r="O58" s="15">
        <f>MAX(0,N58*Параметры!$C$14)</f>
        <v>1027091.2949544628</v>
      </c>
      <c r="P58" s="15">
        <f t="shared" si="14"/>
        <v>4108365.1798178507</v>
      </c>
      <c r="Q58" s="15">
        <v>0</v>
      </c>
      <c r="R58" s="15">
        <v>0</v>
      </c>
      <c r="S58" s="15">
        <f>MAX(0,MIN(Параметры!$C$26-M58,T57))</f>
        <v>0</v>
      </c>
      <c r="T58" s="15">
        <f t="shared" si="15"/>
        <v>0</v>
      </c>
      <c r="U58" s="15">
        <f t="shared" si="16"/>
        <v>3309123.2591074677</v>
      </c>
      <c r="V58" s="15">
        <f t="shared" si="9"/>
        <v>62494726.283703625</v>
      </c>
    </row>
    <row r="59" spans="1:22" x14ac:dyDescent="0.25">
      <c r="A59" s="16">
        <v>58</v>
      </c>
      <c r="B59" s="16" t="s">
        <v>119</v>
      </c>
      <c r="C59" s="17" t="s">
        <v>68</v>
      </c>
      <c r="D59" s="11">
        <f>Параметры!$C$4*Параметры!$C$7*(1+Параметры!$C$8)^INT((A59-Параметры!$C$11-1)/12)</f>
        <v>8220038.5300000003</v>
      </c>
      <c r="E59" s="11">
        <f>D59/(1+Параметры!$C$13)</f>
        <v>6737736.5</v>
      </c>
      <c r="F59" s="11">
        <f t="shared" si="10"/>
        <v>1482302.0300000003</v>
      </c>
      <c r="G59" s="11">
        <f>IF(AND(A59&gt;Параметры!$C$11,A59&lt;=Параметры!$C$11+3),Параметры!$C$28,0)</f>
        <v>0</v>
      </c>
      <c r="H59" s="11">
        <f t="shared" si="11"/>
        <v>1482302.0300000003</v>
      </c>
      <c r="I59" s="11">
        <f>E59*Параметры!$C$16</f>
        <v>673773.65</v>
      </c>
      <c r="J59" s="11">
        <f>Параметры!$C$27</f>
        <v>683060.10928961751</v>
      </c>
      <c r="K59" s="11">
        <f>MAX(0,Параметры!$C$20-Параметры!$C$27*MAX(0,A59-Параметры!$C$11-1))*Параметры!$C$15/12</f>
        <v>244193.9890710382</v>
      </c>
      <c r="L59" s="11">
        <f t="shared" si="12"/>
        <v>5136708.7516393438</v>
      </c>
      <c r="M59" s="11">
        <f>T58*Параметры!$C$10/12</f>
        <v>0</v>
      </c>
      <c r="N59" s="11">
        <f t="shared" si="13"/>
        <v>5136708.7516393438</v>
      </c>
      <c r="O59" s="11">
        <f>MAX(0,N59*Параметры!$C$14)</f>
        <v>1027341.7503278689</v>
      </c>
      <c r="P59" s="11">
        <f t="shared" si="14"/>
        <v>4109367.0013114749</v>
      </c>
      <c r="Q59" s="11">
        <v>0</v>
      </c>
      <c r="R59" s="11">
        <v>0</v>
      </c>
      <c r="S59" s="11">
        <f>MAX(0,MIN(Параметры!$C$26-M59,T58))</f>
        <v>0</v>
      </c>
      <c r="T59" s="11">
        <f t="shared" si="15"/>
        <v>0</v>
      </c>
      <c r="U59" s="11">
        <f t="shared" si="16"/>
        <v>3310125.0806010924</v>
      </c>
      <c r="V59" s="11">
        <f t="shared" si="9"/>
        <v>65804851.364304721</v>
      </c>
    </row>
    <row r="60" spans="1:22" x14ac:dyDescent="0.25">
      <c r="A60" s="13">
        <v>59</v>
      </c>
      <c r="B60" s="13" t="s">
        <v>120</v>
      </c>
      <c r="C60" s="14" t="s">
        <v>68</v>
      </c>
      <c r="D60" s="15">
        <f>Параметры!$C$4*Параметры!$C$7*(1+Параметры!$C$8)^INT((A60-Параметры!$C$11-1)/12)</f>
        <v>8220038.5300000003</v>
      </c>
      <c r="E60" s="15">
        <f>D60/(1+Параметры!$C$13)</f>
        <v>6737736.5</v>
      </c>
      <c r="F60" s="15">
        <f t="shared" si="10"/>
        <v>1482302.0300000003</v>
      </c>
      <c r="G60" s="15">
        <f>IF(AND(A60&gt;Параметры!$C$11,A60&lt;=Параметры!$C$11+3),Параметры!$C$28,0)</f>
        <v>0</v>
      </c>
      <c r="H60" s="15">
        <f t="shared" si="11"/>
        <v>1482302.0300000003</v>
      </c>
      <c r="I60" s="15">
        <f>E60*Параметры!$C$16</f>
        <v>673773.65</v>
      </c>
      <c r="J60" s="15">
        <f>Параметры!$C$27</f>
        <v>683060.10928961751</v>
      </c>
      <c r="K60" s="15">
        <f>MAX(0,Параметры!$C$20-Параметры!$C$27*MAX(0,A60-Параметры!$C$11-1))*Параметры!$C$15/12</f>
        <v>242941.71220400723</v>
      </c>
      <c r="L60" s="15">
        <f t="shared" si="12"/>
        <v>5137961.0285063749</v>
      </c>
      <c r="M60" s="15">
        <f>T59*Параметры!$C$10/12</f>
        <v>0</v>
      </c>
      <c r="N60" s="15">
        <f t="shared" si="13"/>
        <v>5137961.0285063749</v>
      </c>
      <c r="O60" s="15">
        <f>MAX(0,N60*Параметры!$C$14)</f>
        <v>1027592.205701275</v>
      </c>
      <c r="P60" s="15">
        <f t="shared" si="14"/>
        <v>4110368.8228051001</v>
      </c>
      <c r="Q60" s="15">
        <v>0</v>
      </c>
      <c r="R60" s="15">
        <v>0</v>
      </c>
      <c r="S60" s="15">
        <f>MAX(0,MIN(Параметры!$C$26-M60,T59))</f>
        <v>0</v>
      </c>
      <c r="T60" s="15">
        <f t="shared" si="15"/>
        <v>0</v>
      </c>
      <c r="U60" s="15">
        <f t="shared" si="16"/>
        <v>3311126.9020947171</v>
      </c>
      <c r="V60" s="15">
        <f t="shared" si="9"/>
        <v>69115978.266399443</v>
      </c>
    </row>
    <row r="61" spans="1:22" x14ac:dyDescent="0.25">
      <c r="A61" s="16">
        <v>60</v>
      </c>
      <c r="B61" s="16" t="s">
        <v>121</v>
      </c>
      <c r="C61" s="17" t="s">
        <v>68</v>
      </c>
      <c r="D61" s="11">
        <f>Параметры!$C$4*Параметры!$C$7*(1+Параметры!$C$8)^INT((A61-Параметры!$C$11-1)/12)</f>
        <v>8220038.5300000003</v>
      </c>
      <c r="E61" s="11">
        <f>D61/(1+Параметры!$C$13)</f>
        <v>6737736.5</v>
      </c>
      <c r="F61" s="11">
        <f t="shared" si="10"/>
        <v>1482302.0300000003</v>
      </c>
      <c r="G61" s="11">
        <f>IF(AND(A61&gt;Параметры!$C$11,A61&lt;=Параметры!$C$11+3),Параметры!$C$28,0)</f>
        <v>0</v>
      </c>
      <c r="H61" s="11">
        <f t="shared" si="11"/>
        <v>1482302.0300000003</v>
      </c>
      <c r="I61" s="11">
        <f>E61*Параметры!$C$16</f>
        <v>673773.65</v>
      </c>
      <c r="J61" s="11">
        <f>Параметры!$C$27</f>
        <v>683060.10928961751</v>
      </c>
      <c r="K61" s="11">
        <f>MAX(0,Параметры!$C$20-Параметры!$C$27*MAX(0,A61-Параметры!$C$11-1))*Параметры!$C$15/12</f>
        <v>241689.43533697628</v>
      </c>
      <c r="L61" s="11">
        <f t="shared" si="12"/>
        <v>5139213.305373406</v>
      </c>
      <c r="M61" s="11">
        <f>T60*Параметры!$C$10/12</f>
        <v>0</v>
      </c>
      <c r="N61" s="11">
        <f t="shared" si="13"/>
        <v>5139213.305373406</v>
      </c>
      <c r="O61" s="11">
        <f>MAX(0,N61*Параметры!$C$14)</f>
        <v>1027842.6610746812</v>
      </c>
      <c r="P61" s="11">
        <f t="shared" si="14"/>
        <v>4111370.6442987248</v>
      </c>
      <c r="Q61" s="11">
        <v>0</v>
      </c>
      <c r="R61" s="11">
        <v>0</v>
      </c>
      <c r="S61" s="11">
        <f>MAX(0,MIN(Параметры!$C$26-M61,T60))</f>
        <v>0</v>
      </c>
      <c r="T61" s="11">
        <f t="shared" si="15"/>
        <v>0</v>
      </c>
      <c r="U61" s="11">
        <f t="shared" si="16"/>
        <v>3312128.7235883418</v>
      </c>
      <c r="V61" s="11">
        <f t="shared" si="9"/>
        <v>72428106.989987791</v>
      </c>
    </row>
    <row r="62" spans="1:22" x14ac:dyDescent="0.25">
      <c r="A62" s="13">
        <v>61</v>
      </c>
      <c r="B62" s="13" t="s">
        <v>122</v>
      </c>
      <c r="C62" s="14" t="s">
        <v>68</v>
      </c>
      <c r="D62" s="15">
        <f>Параметры!$C$4*Параметры!$C$7*(1+Параметры!$C$8)^INT((A62-Параметры!$C$11-1)/12)</f>
        <v>8795441.2270999998</v>
      </c>
      <c r="E62" s="15">
        <f>D62/(1+Параметры!$C$13)</f>
        <v>7209378.0549999997</v>
      </c>
      <c r="F62" s="15">
        <f t="shared" si="10"/>
        <v>1586063.1721000001</v>
      </c>
      <c r="G62" s="15">
        <f>IF(AND(A62&gt;Параметры!$C$11,A62&lt;=Параметры!$C$11+3),Параметры!$C$28,0)</f>
        <v>0</v>
      </c>
      <c r="H62" s="15">
        <f t="shared" si="11"/>
        <v>1586063.1721000001</v>
      </c>
      <c r="I62" s="15">
        <f>E62*Параметры!$C$16</f>
        <v>720937.80550000002</v>
      </c>
      <c r="J62" s="15">
        <f>Параметры!$C$27</f>
        <v>683060.10928961751</v>
      </c>
      <c r="K62" s="15">
        <f>MAX(0,Параметры!$C$20-Параметры!$C$27*MAX(0,A62-Параметры!$C$11-1))*Параметры!$C$15/12</f>
        <v>240437.15846994531</v>
      </c>
      <c r="L62" s="15">
        <f t="shared" si="12"/>
        <v>5564942.9817404374</v>
      </c>
      <c r="M62" s="15">
        <f>T61*Параметры!$C$10/12</f>
        <v>0</v>
      </c>
      <c r="N62" s="15">
        <f t="shared" si="13"/>
        <v>5564942.9817404374</v>
      </c>
      <c r="O62" s="15">
        <f>MAX(0,N62*Параметры!$C$14)</f>
        <v>1112988.5963480875</v>
      </c>
      <c r="P62" s="15">
        <f t="shared" si="14"/>
        <v>4451954.3853923501</v>
      </c>
      <c r="Q62" s="15">
        <v>0</v>
      </c>
      <c r="R62" s="15">
        <v>0</v>
      </c>
      <c r="S62" s="15">
        <f>MAX(0,MIN(Параметры!$C$26-M62,T61))</f>
        <v>0</v>
      </c>
      <c r="T62" s="15">
        <f t="shared" si="15"/>
        <v>0</v>
      </c>
      <c r="U62" s="15">
        <f t="shared" si="16"/>
        <v>3548951.3225819673</v>
      </c>
      <c r="V62" s="15">
        <f t="shared" si="9"/>
        <v>75977058.312569752</v>
      </c>
    </row>
    <row r="63" spans="1:22" x14ac:dyDescent="0.25">
      <c r="A63" s="16">
        <v>62</v>
      </c>
      <c r="B63" s="16" t="s">
        <v>123</v>
      </c>
      <c r="C63" s="17" t="s">
        <v>68</v>
      </c>
      <c r="D63" s="11">
        <f>Параметры!$C$4*Параметры!$C$7*(1+Параметры!$C$8)^INT((A63-Параметры!$C$11-1)/12)</f>
        <v>8795441.2270999998</v>
      </c>
      <c r="E63" s="11">
        <f>D63/(1+Параметры!$C$13)</f>
        <v>7209378.0549999997</v>
      </c>
      <c r="F63" s="11">
        <f t="shared" si="10"/>
        <v>1586063.1721000001</v>
      </c>
      <c r="G63" s="11">
        <f>IF(AND(A63&gt;Параметры!$C$11,A63&lt;=Параметры!$C$11+3),Параметры!$C$28,0)</f>
        <v>0</v>
      </c>
      <c r="H63" s="11">
        <f t="shared" si="11"/>
        <v>1586063.1721000001</v>
      </c>
      <c r="I63" s="11">
        <f>E63*Параметры!$C$16</f>
        <v>720937.80550000002</v>
      </c>
      <c r="J63" s="11">
        <f>Параметры!$C$27</f>
        <v>683060.10928961751</v>
      </c>
      <c r="K63" s="11">
        <f>MAX(0,Параметры!$C$20-Параметры!$C$27*MAX(0,A63-Параметры!$C$11-1))*Параметры!$C$15/12</f>
        <v>239184.88160291433</v>
      </c>
      <c r="L63" s="11">
        <f t="shared" si="12"/>
        <v>5566195.2586074686</v>
      </c>
      <c r="M63" s="11">
        <f>T62*Параметры!$C$10/12</f>
        <v>0</v>
      </c>
      <c r="N63" s="11">
        <f t="shared" si="13"/>
        <v>5566195.2586074686</v>
      </c>
      <c r="O63" s="11">
        <f>MAX(0,N63*Параметры!$C$14)</f>
        <v>1113239.0517214937</v>
      </c>
      <c r="P63" s="11">
        <f t="shared" si="14"/>
        <v>4452956.2068859749</v>
      </c>
      <c r="Q63" s="11">
        <v>0</v>
      </c>
      <c r="R63" s="11">
        <v>0</v>
      </c>
      <c r="S63" s="11">
        <f>MAX(0,MIN(Параметры!$C$26-M63,T62))</f>
        <v>0</v>
      </c>
      <c r="T63" s="11">
        <f t="shared" si="15"/>
        <v>0</v>
      </c>
      <c r="U63" s="11">
        <f t="shared" si="16"/>
        <v>3549953.144075592</v>
      </c>
      <c r="V63" s="11">
        <f t="shared" si="9"/>
        <v>79527011.45664534</v>
      </c>
    </row>
    <row r="64" spans="1:22" x14ac:dyDescent="0.25">
      <c r="A64" s="13">
        <v>63</v>
      </c>
      <c r="B64" s="13" t="s">
        <v>124</v>
      </c>
      <c r="C64" s="14" t="s">
        <v>68</v>
      </c>
      <c r="D64" s="15">
        <f>Параметры!$C$4*Параметры!$C$7*(1+Параметры!$C$8)^INT((A64-Параметры!$C$11-1)/12)</f>
        <v>8795441.2270999998</v>
      </c>
      <c r="E64" s="15">
        <f>D64/(1+Параметры!$C$13)</f>
        <v>7209378.0549999997</v>
      </c>
      <c r="F64" s="15">
        <f t="shared" si="10"/>
        <v>1586063.1721000001</v>
      </c>
      <c r="G64" s="15">
        <f>IF(AND(A64&gt;Параметры!$C$11,A64&lt;=Параметры!$C$11+3),Параметры!$C$28,0)</f>
        <v>0</v>
      </c>
      <c r="H64" s="15">
        <f t="shared" si="11"/>
        <v>1586063.1721000001</v>
      </c>
      <c r="I64" s="15">
        <f>E64*Параметры!$C$16</f>
        <v>720937.80550000002</v>
      </c>
      <c r="J64" s="15">
        <f>Параметры!$C$27</f>
        <v>683060.10928961751</v>
      </c>
      <c r="K64" s="15">
        <f>MAX(0,Параметры!$C$20-Параметры!$C$27*MAX(0,A64-Параметры!$C$11-1))*Параметры!$C$15/12</f>
        <v>237932.60473588339</v>
      </c>
      <c r="L64" s="15">
        <f t="shared" si="12"/>
        <v>5567447.5354744997</v>
      </c>
      <c r="M64" s="15">
        <f>T63*Параметры!$C$10/12</f>
        <v>0</v>
      </c>
      <c r="N64" s="15">
        <f t="shared" si="13"/>
        <v>5567447.5354744997</v>
      </c>
      <c r="O64" s="15">
        <f>MAX(0,N64*Параметры!$C$14)</f>
        <v>1113489.5070948999</v>
      </c>
      <c r="P64" s="15">
        <f t="shared" si="14"/>
        <v>4453958.0283795996</v>
      </c>
      <c r="Q64" s="15">
        <v>0</v>
      </c>
      <c r="R64" s="15">
        <v>0</v>
      </c>
      <c r="S64" s="15">
        <f>MAX(0,MIN(Параметры!$C$26-M64,T63))</f>
        <v>0</v>
      </c>
      <c r="T64" s="15">
        <f t="shared" si="15"/>
        <v>0</v>
      </c>
      <c r="U64" s="15">
        <f t="shared" si="16"/>
        <v>3550954.9655692168</v>
      </c>
      <c r="V64" s="15">
        <f t="shared" si="9"/>
        <v>83077966.422214553</v>
      </c>
    </row>
    <row r="65" spans="1:22" x14ac:dyDescent="0.25">
      <c r="A65" s="16">
        <v>64</v>
      </c>
      <c r="B65" s="16" t="s">
        <v>125</v>
      </c>
      <c r="C65" s="17" t="s">
        <v>68</v>
      </c>
      <c r="D65" s="11">
        <f>Параметры!$C$4*Параметры!$C$7*(1+Параметры!$C$8)^INT((A65-Параметры!$C$11-1)/12)</f>
        <v>8795441.2270999998</v>
      </c>
      <c r="E65" s="11">
        <f>D65/(1+Параметры!$C$13)</f>
        <v>7209378.0549999997</v>
      </c>
      <c r="F65" s="11">
        <f t="shared" si="10"/>
        <v>1586063.1721000001</v>
      </c>
      <c r="G65" s="11">
        <f>IF(AND(A65&gt;Параметры!$C$11,A65&lt;=Параметры!$C$11+3),Параметры!$C$28,0)</f>
        <v>0</v>
      </c>
      <c r="H65" s="11">
        <f t="shared" si="11"/>
        <v>1586063.1721000001</v>
      </c>
      <c r="I65" s="11">
        <f>E65*Параметры!$C$16</f>
        <v>720937.80550000002</v>
      </c>
      <c r="J65" s="11">
        <f>Параметры!$C$27</f>
        <v>683060.10928961751</v>
      </c>
      <c r="K65" s="11">
        <f>MAX(0,Параметры!$C$20-Параметры!$C$27*MAX(0,A65-Параметры!$C$11-1))*Параметры!$C$15/12</f>
        <v>236680.32786885242</v>
      </c>
      <c r="L65" s="11">
        <f t="shared" si="12"/>
        <v>5568699.8123415299</v>
      </c>
      <c r="M65" s="11">
        <f>T64*Параметры!$C$10/12</f>
        <v>0</v>
      </c>
      <c r="N65" s="11">
        <f t="shared" si="13"/>
        <v>5568699.8123415299</v>
      </c>
      <c r="O65" s="11">
        <f>MAX(0,N65*Параметры!$C$14)</f>
        <v>1113739.9624683061</v>
      </c>
      <c r="P65" s="11">
        <f t="shared" si="14"/>
        <v>4454959.8498732243</v>
      </c>
      <c r="Q65" s="11">
        <v>0</v>
      </c>
      <c r="R65" s="11">
        <v>0</v>
      </c>
      <c r="S65" s="11">
        <f>MAX(0,MIN(Параметры!$C$26-M65,T64))</f>
        <v>0</v>
      </c>
      <c r="T65" s="11">
        <f t="shared" si="15"/>
        <v>0</v>
      </c>
      <c r="U65" s="11">
        <f t="shared" si="16"/>
        <v>3551956.7870628415</v>
      </c>
      <c r="V65" s="11">
        <f t="shared" si="9"/>
        <v>86629923.209277391</v>
      </c>
    </row>
    <row r="66" spans="1:22" x14ac:dyDescent="0.25">
      <c r="A66" s="13">
        <v>65</v>
      </c>
      <c r="B66" s="13" t="s">
        <v>126</v>
      </c>
      <c r="C66" s="14" t="s">
        <v>68</v>
      </c>
      <c r="D66" s="15">
        <f>Параметры!$C$4*Параметры!$C$7*(1+Параметры!$C$8)^INT((A66-Параметры!$C$11-1)/12)</f>
        <v>8795441.2270999998</v>
      </c>
      <c r="E66" s="15">
        <f>D66/(1+Параметры!$C$13)</f>
        <v>7209378.0549999997</v>
      </c>
      <c r="F66" s="15">
        <f t="shared" si="10"/>
        <v>1586063.1721000001</v>
      </c>
      <c r="G66" s="15">
        <f>IF(AND(A66&gt;Параметры!$C$11,A66&lt;=Параметры!$C$11+3),Параметры!$C$28,0)</f>
        <v>0</v>
      </c>
      <c r="H66" s="15">
        <f t="shared" si="11"/>
        <v>1586063.1721000001</v>
      </c>
      <c r="I66" s="15">
        <f>E66*Параметры!$C$16</f>
        <v>720937.80550000002</v>
      </c>
      <c r="J66" s="15">
        <f>Параметры!$C$27</f>
        <v>683060.10928961751</v>
      </c>
      <c r="K66" s="15">
        <f>MAX(0,Параметры!$C$20-Параметры!$C$27*MAX(0,A66-Параметры!$C$11-1))*Параметры!$C$15/12</f>
        <v>235428.05100182144</v>
      </c>
      <c r="L66" s="15">
        <f t="shared" si="12"/>
        <v>5569952.089208561</v>
      </c>
      <c r="M66" s="15">
        <f>T65*Параметры!$C$10/12</f>
        <v>0</v>
      </c>
      <c r="N66" s="15">
        <f t="shared" si="13"/>
        <v>5569952.089208561</v>
      </c>
      <c r="O66" s="15">
        <f>MAX(0,N66*Параметры!$C$14)</f>
        <v>1113990.4178417122</v>
      </c>
      <c r="P66" s="15">
        <f t="shared" si="14"/>
        <v>4455961.671366849</v>
      </c>
      <c r="Q66" s="15">
        <v>0</v>
      </c>
      <c r="R66" s="15">
        <v>0</v>
      </c>
      <c r="S66" s="15">
        <f>MAX(0,MIN(Параметры!$C$26-M66,T65))</f>
        <v>0</v>
      </c>
      <c r="T66" s="15">
        <f t="shared" si="15"/>
        <v>0</v>
      </c>
      <c r="U66" s="15">
        <f t="shared" si="16"/>
        <v>3552958.6085564662</v>
      </c>
      <c r="V66" s="15">
        <f t="shared" si="9"/>
        <v>90182881.817833856</v>
      </c>
    </row>
    <row r="67" spans="1:22" x14ac:dyDescent="0.25">
      <c r="A67" s="16">
        <v>66</v>
      </c>
      <c r="B67" s="16" t="s">
        <v>127</v>
      </c>
      <c r="C67" s="17" t="s">
        <v>68</v>
      </c>
      <c r="D67" s="11">
        <f>Параметры!$C$4*Параметры!$C$7*(1+Параметры!$C$8)^INT((A67-Параметры!$C$11-1)/12)</f>
        <v>8795441.2270999998</v>
      </c>
      <c r="E67" s="11">
        <f>D67/(1+Параметры!$C$13)</f>
        <v>7209378.0549999997</v>
      </c>
      <c r="F67" s="11">
        <f t="shared" si="10"/>
        <v>1586063.1721000001</v>
      </c>
      <c r="G67" s="11">
        <f>IF(AND(A67&gt;Параметры!$C$11,A67&lt;=Параметры!$C$11+3),Параметры!$C$28,0)</f>
        <v>0</v>
      </c>
      <c r="H67" s="11">
        <f t="shared" si="11"/>
        <v>1586063.1721000001</v>
      </c>
      <c r="I67" s="11">
        <f>E67*Параметры!$C$16</f>
        <v>720937.80550000002</v>
      </c>
      <c r="J67" s="11">
        <f>Параметры!$C$27</f>
        <v>683060.10928961751</v>
      </c>
      <c r="K67" s="11">
        <f>MAX(0,Параметры!$C$20-Параметры!$C$27*MAX(0,A67-Параметры!$C$11-1))*Параметры!$C$15/12</f>
        <v>234175.77413479052</v>
      </c>
      <c r="L67" s="11">
        <f t="shared" si="12"/>
        <v>5571204.3660755921</v>
      </c>
      <c r="M67" s="11">
        <f>T66*Параметры!$C$10/12</f>
        <v>0</v>
      </c>
      <c r="N67" s="11">
        <f t="shared" si="13"/>
        <v>5571204.3660755921</v>
      </c>
      <c r="O67" s="11">
        <f>MAX(0,N67*Параметры!$C$14)</f>
        <v>1114240.8732151184</v>
      </c>
      <c r="P67" s="11">
        <f t="shared" si="14"/>
        <v>4456963.4928604737</v>
      </c>
      <c r="Q67" s="11">
        <v>0</v>
      </c>
      <c r="R67" s="11">
        <v>0</v>
      </c>
      <c r="S67" s="11">
        <f>MAX(0,MIN(Параметры!$C$26-M67,T66))</f>
        <v>0</v>
      </c>
      <c r="T67" s="11">
        <f t="shared" si="15"/>
        <v>0</v>
      </c>
      <c r="U67" s="11">
        <f t="shared" si="16"/>
        <v>3553960.4300500909</v>
      </c>
      <c r="V67" s="11">
        <f t="shared" ref="V67:V98" si="17">V66+U67</f>
        <v>93736842.247883946</v>
      </c>
    </row>
    <row r="68" spans="1:22" x14ac:dyDescent="0.25">
      <c r="A68" s="13">
        <v>67</v>
      </c>
      <c r="B68" s="13" t="s">
        <v>128</v>
      </c>
      <c r="C68" s="14" t="s">
        <v>68</v>
      </c>
      <c r="D68" s="15">
        <f>Параметры!$C$4*Параметры!$C$7*(1+Параметры!$C$8)^INT((A68-Параметры!$C$11-1)/12)</f>
        <v>8795441.2270999998</v>
      </c>
      <c r="E68" s="15">
        <f>D68/(1+Параметры!$C$13)</f>
        <v>7209378.0549999997</v>
      </c>
      <c r="F68" s="15">
        <f t="shared" si="10"/>
        <v>1586063.1721000001</v>
      </c>
      <c r="G68" s="15">
        <f>IF(AND(A68&gt;Параметры!$C$11,A68&lt;=Параметры!$C$11+3),Параметры!$C$28,0)</f>
        <v>0</v>
      </c>
      <c r="H68" s="15">
        <f t="shared" si="11"/>
        <v>1586063.1721000001</v>
      </c>
      <c r="I68" s="15">
        <f>E68*Параметры!$C$16</f>
        <v>720937.80550000002</v>
      </c>
      <c r="J68" s="15">
        <f>Параметры!$C$27</f>
        <v>683060.10928961751</v>
      </c>
      <c r="K68" s="15">
        <f>MAX(0,Параметры!$C$20-Параметры!$C$27*MAX(0,A68-Параметры!$C$11-1))*Параметры!$C$15/12</f>
        <v>232923.49726775955</v>
      </c>
      <c r="L68" s="15">
        <f t="shared" si="12"/>
        <v>5572456.6429426232</v>
      </c>
      <c r="M68" s="15">
        <f>T67*Параметры!$C$10/12</f>
        <v>0</v>
      </c>
      <c r="N68" s="15">
        <f t="shared" si="13"/>
        <v>5572456.6429426232</v>
      </c>
      <c r="O68" s="15">
        <f>MAX(0,N68*Параметры!$C$14)</f>
        <v>1114491.3285885246</v>
      </c>
      <c r="P68" s="15">
        <f t="shared" si="14"/>
        <v>4457965.3143540984</v>
      </c>
      <c r="Q68" s="15">
        <v>0</v>
      </c>
      <c r="R68" s="15">
        <v>0</v>
      </c>
      <c r="S68" s="15">
        <f>MAX(0,MIN(Параметры!$C$26-M68,T67))</f>
        <v>0</v>
      </c>
      <c r="T68" s="15">
        <f t="shared" si="15"/>
        <v>0</v>
      </c>
      <c r="U68" s="15">
        <f t="shared" si="16"/>
        <v>3554962.2515437156</v>
      </c>
      <c r="V68" s="15">
        <f t="shared" si="17"/>
        <v>97291804.499427661</v>
      </c>
    </row>
    <row r="69" spans="1:22" x14ac:dyDescent="0.25">
      <c r="A69" s="16">
        <v>68</v>
      </c>
      <c r="B69" s="16" t="s">
        <v>129</v>
      </c>
      <c r="C69" s="17" t="s">
        <v>68</v>
      </c>
      <c r="D69" s="11">
        <f>Параметры!$C$4*Параметры!$C$7*(1+Параметры!$C$8)^INT((A69-Параметры!$C$11-1)/12)</f>
        <v>8795441.2270999998</v>
      </c>
      <c r="E69" s="11">
        <f>D69/(1+Параметры!$C$13)</f>
        <v>7209378.0549999997</v>
      </c>
      <c r="F69" s="11">
        <f t="shared" si="10"/>
        <v>1586063.1721000001</v>
      </c>
      <c r="G69" s="11">
        <f>IF(AND(A69&gt;Параметры!$C$11,A69&lt;=Параметры!$C$11+3),Параметры!$C$28,0)</f>
        <v>0</v>
      </c>
      <c r="H69" s="11">
        <f t="shared" si="11"/>
        <v>1586063.1721000001</v>
      </c>
      <c r="I69" s="11">
        <f>E69*Параметры!$C$16</f>
        <v>720937.80550000002</v>
      </c>
      <c r="J69" s="11">
        <f>Параметры!$C$27</f>
        <v>683060.10928961751</v>
      </c>
      <c r="K69" s="11">
        <f>MAX(0,Параметры!$C$20-Параметры!$C$27*MAX(0,A69-Параметры!$C$11-1))*Параметры!$C$15/12</f>
        <v>231671.22040072861</v>
      </c>
      <c r="L69" s="11">
        <f t="shared" si="12"/>
        <v>5573708.9198096544</v>
      </c>
      <c r="M69" s="11">
        <f>T68*Параметры!$C$10/12</f>
        <v>0</v>
      </c>
      <c r="N69" s="11">
        <f t="shared" si="13"/>
        <v>5573708.9198096544</v>
      </c>
      <c r="O69" s="11">
        <f>MAX(0,N69*Параметры!$C$14)</f>
        <v>1114741.783961931</v>
      </c>
      <c r="P69" s="11">
        <f t="shared" si="14"/>
        <v>4458967.1358477231</v>
      </c>
      <c r="Q69" s="11">
        <v>0</v>
      </c>
      <c r="R69" s="11">
        <v>0</v>
      </c>
      <c r="S69" s="11">
        <f>MAX(0,MIN(Параметры!$C$26-M69,T68))</f>
        <v>0</v>
      </c>
      <c r="T69" s="11">
        <f t="shared" si="15"/>
        <v>0</v>
      </c>
      <c r="U69" s="11">
        <f t="shared" si="16"/>
        <v>3555964.0730373403</v>
      </c>
      <c r="V69" s="11">
        <f t="shared" si="17"/>
        <v>100847768.572465</v>
      </c>
    </row>
    <row r="70" spans="1:22" x14ac:dyDescent="0.25">
      <c r="A70" s="13">
        <v>69</v>
      </c>
      <c r="B70" s="13" t="s">
        <v>130</v>
      </c>
      <c r="C70" s="14" t="s">
        <v>68</v>
      </c>
      <c r="D70" s="15">
        <f>Параметры!$C$4*Параметры!$C$7*(1+Параметры!$C$8)^INT((A70-Параметры!$C$11-1)/12)</f>
        <v>8795441.2270999998</v>
      </c>
      <c r="E70" s="15">
        <f>D70/(1+Параметры!$C$13)</f>
        <v>7209378.0549999997</v>
      </c>
      <c r="F70" s="15">
        <f t="shared" si="10"/>
        <v>1586063.1721000001</v>
      </c>
      <c r="G70" s="15">
        <f>IF(AND(A70&gt;Параметры!$C$11,A70&lt;=Параметры!$C$11+3),Параметры!$C$28,0)</f>
        <v>0</v>
      </c>
      <c r="H70" s="15">
        <f t="shared" si="11"/>
        <v>1586063.1721000001</v>
      </c>
      <c r="I70" s="15">
        <f>E70*Параметры!$C$16</f>
        <v>720937.80550000002</v>
      </c>
      <c r="J70" s="15">
        <f>Параметры!$C$27</f>
        <v>683060.10928961751</v>
      </c>
      <c r="K70" s="15">
        <f>MAX(0,Параметры!$C$20-Параметры!$C$27*MAX(0,A70-Параметры!$C$11-1))*Параметры!$C$15/12</f>
        <v>230418.94353369763</v>
      </c>
      <c r="L70" s="15">
        <f t="shared" si="12"/>
        <v>5574961.1966766845</v>
      </c>
      <c r="M70" s="15">
        <f>T69*Параметры!$C$10/12</f>
        <v>0</v>
      </c>
      <c r="N70" s="15">
        <f t="shared" si="13"/>
        <v>5574961.1966766845</v>
      </c>
      <c r="O70" s="15">
        <f>MAX(0,N70*Параметры!$C$14)</f>
        <v>1114992.239335337</v>
      </c>
      <c r="P70" s="15">
        <f t="shared" si="14"/>
        <v>4459968.9573413478</v>
      </c>
      <c r="Q70" s="15">
        <v>0</v>
      </c>
      <c r="R70" s="15">
        <v>0</v>
      </c>
      <c r="S70" s="15">
        <f>MAX(0,MIN(Параметры!$C$26-M70,T69))</f>
        <v>0</v>
      </c>
      <c r="T70" s="15">
        <f t="shared" si="15"/>
        <v>0</v>
      </c>
      <c r="U70" s="15">
        <f t="shared" si="16"/>
        <v>3556965.894530965</v>
      </c>
      <c r="V70" s="15">
        <f t="shared" si="17"/>
        <v>104404734.46699597</v>
      </c>
    </row>
    <row r="71" spans="1:22" x14ac:dyDescent="0.25">
      <c r="A71" s="16">
        <v>70</v>
      </c>
      <c r="B71" s="16" t="s">
        <v>131</v>
      </c>
      <c r="C71" s="17" t="s">
        <v>68</v>
      </c>
      <c r="D71" s="11">
        <f>Параметры!$C$4*Параметры!$C$7*(1+Параметры!$C$8)^INT((A71-Параметры!$C$11-1)/12)</f>
        <v>8795441.2270999998</v>
      </c>
      <c r="E71" s="11">
        <f>D71/(1+Параметры!$C$13)</f>
        <v>7209378.0549999997</v>
      </c>
      <c r="F71" s="11">
        <f t="shared" si="10"/>
        <v>1586063.1721000001</v>
      </c>
      <c r="G71" s="11">
        <f>IF(AND(A71&gt;Параметры!$C$11,A71&lt;=Параметры!$C$11+3),Параметры!$C$28,0)</f>
        <v>0</v>
      </c>
      <c r="H71" s="11">
        <f t="shared" si="11"/>
        <v>1586063.1721000001</v>
      </c>
      <c r="I71" s="11">
        <f>E71*Параметры!$C$16</f>
        <v>720937.80550000002</v>
      </c>
      <c r="J71" s="11">
        <f>Параметры!$C$27</f>
        <v>683060.10928961751</v>
      </c>
      <c r="K71" s="11">
        <f>MAX(0,Параметры!$C$20-Параметры!$C$27*MAX(0,A71-Параметры!$C$11-1))*Параметры!$C$15/12</f>
        <v>229166.66666666666</v>
      </c>
      <c r="L71" s="11">
        <f t="shared" si="12"/>
        <v>5576213.4735437157</v>
      </c>
      <c r="M71" s="11">
        <f>T70*Параметры!$C$10/12</f>
        <v>0</v>
      </c>
      <c r="N71" s="11">
        <f t="shared" si="13"/>
        <v>5576213.4735437157</v>
      </c>
      <c r="O71" s="11">
        <f>MAX(0,N71*Параметры!$C$14)</f>
        <v>1115242.6947087431</v>
      </c>
      <c r="P71" s="11">
        <f t="shared" si="14"/>
        <v>4460970.7788349725</v>
      </c>
      <c r="Q71" s="11">
        <v>0</v>
      </c>
      <c r="R71" s="11">
        <v>0</v>
      </c>
      <c r="S71" s="11">
        <f>MAX(0,MIN(Параметры!$C$26-M71,T70))</f>
        <v>0</v>
      </c>
      <c r="T71" s="11">
        <f t="shared" si="15"/>
        <v>0</v>
      </c>
      <c r="U71" s="11">
        <f t="shared" si="16"/>
        <v>3557967.7160245897</v>
      </c>
      <c r="V71" s="11">
        <f t="shared" si="17"/>
        <v>107962702.18302056</v>
      </c>
    </row>
    <row r="72" spans="1:22" x14ac:dyDescent="0.25">
      <c r="A72" s="13">
        <v>71</v>
      </c>
      <c r="B72" s="13" t="s">
        <v>132</v>
      </c>
      <c r="C72" s="14" t="s">
        <v>68</v>
      </c>
      <c r="D72" s="15">
        <f>Параметры!$C$4*Параметры!$C$7*(1+Параметры!$C$8)^INT((A72-Параметры!$C$11-1)/12)</f>
        <v>8795441.2270999998</v>
      </c>
      <c r="E72" s="15">
        <f>D72/(1+Параметры!$C$13)</f>
        <v>7209378.0549999997</v>
      </c>
      <c r="F72" s="15">
        <f t="shared" ref="F72:F103" si="18">D72-E72</f>
        <v>1586063.1721000001</v>
      </c>
      <c r="G72" s="15">
        <f>IF(AND(A72&gt;Параметры!$C$11,A72&lt;=Параметры!$C$11+3),Параметры!$C$28,0)</f>
        <v>0</v>
      </c>
      <c r="H72" s="15">
        <f t="shared" ref="H72:H103" si="19">F72-G72</f>
        <v>1586063.1721000001</v>
      </c>
      <c r="I72" s="15">
        <f>E72*Параметры!$C$16</f>
        <v>720937.80550000002</v>
      </c>
      <c r="J72" s="15">
        <f>Параметры!$C$27</f>
        <v>683060.10928961751</v>
      </c>
      <c r="K72" s="15">
        <f>MAX(0,Параметры!$C$20-Параметры!$C$27*MAX(0,A72-Параметры!$C$11-1))*Параметры!$C$15/12</f>
        <v>227914.38979963571</v>
      </c>
      <c r="L72" s="15">
        <f t="shared" ref="L72:L103" si="20">E72-I72-J72-K72</f>
        <v>5577465.7504107468</v>
      </c>
      <c r="M72" s="15">
        <f>T71*Параметры!$C$10/12</f>
        <v>0</v>
      </c>
      <c r="N72" s="15">
        <f t="shared" ref="N72:N103" si="21">L72-M72</f>
        <v>5577465.7504107468</v>
      </c>
      <c r="O72" s="15">
        <f>MAX(0,N72*Параметры!$C$14)</f>
        <v>1115493.1500821493</v>
      </c>
      <c r="P72" s="15">
        <f t="shared" ref="P72:P103" si="22">N72-O72</f>
        <v>4461972.6003285972</v>
      </c>
      <c r="Q72" s="15">
        <v>0</v>
      </c>
      <c r="R72" s="15">
        <v>0</v>
      </c>
      <c r="S72" s="15">
        <f>MAX(0,MIN(Параметры!$C$26-M72,T71))</f>
        <v>0</v>
      </c>
      <c r="T72" s="15">
        <f t="shared" ref="T72:T103" si="23">MAX(0,T71-S72)</f>
        <v>0</v>
      </c>
      <c r="U72" s="15">
        <f t="shared" ref="U72:U103" si="24">P72+J72-S72-H72</f>
        <v>3558969.5375182144</v>
      </c>
      <c r="V72" s="15">
        <f t="shared" si="17"/>
        <v>111521671.72053878</v>
      </c>
    </row>
    <row r="73" spans="1:22" x14ac:dyDescent="0.25">
      <c r="A73" s="16">
        <v>72</v>
      </c>
      <c r="B73" s="16" t="s">
        <v>133</v>
      </c>
      <c r="C73" s="17" t="s">
        <v>68</v>
      </c>
      <c r="D73" s="11">
        <f>Параметры!$C$4*Параметры!$C$7*(1+Параметры!$C$8)^INT((A73-Параметры!$C$11-1)/12)</f>
        <v>8795441.2270999998</v>
      </c>
      <c r="E73" s="11">
        <f>D73/(1+Параметры!$C$13)</f>
        <v>7209378.0549999997</v>
      </c>
      <c r="F73" s="11">
        <f t="shared" si="18"/>
        <v>1586063.1721000001</v>
      </c>
      <c r="G73" s="11">
        <f>IF(AND(A73&gt;Параметры!$C$11,A73&lt;=Параметры!$C$11+3),Параметры!$C$28,0)</f>
        <v>0</v>
      </c>
      <c r="H73" s="11">
        <f t="shared" si="19"/>
        <v>1586063.1721000001</v>
      </c>
      <c r="I73" s="11">
        <f>E73*Параметры!$C$16</f>
        <v>720937.80550000002</v>
      </c>
      <c r="J73" s="11">
        <f>Параметры!$C$27</f>
        <v>683060.10928961751</v>
      </c>
      <c r="K73" s="11">
        <f>MAX(0,Параметры!$C$20-Параметры!$C$27*MAX(0,A73-Параметры!$C$11-1))*Параметры!$C$15/12</f>
        <v>226662.11293260474</v>
      </c>
      <c r="L73" s="11">
        <f t="shared" si="20"/>
        <v>5578718.0272777779</v>
      </c>
      <c r="M73" s="11">
        <f>T72*Параметры!$C$10/12</f>
        <v>0</v>
      </c>
      <c r="N73" s="11">
        <f t="shared" si="21"/>
        <v>5578718.0272777779</v>
      </c>
      <c r="O73" s="11">
        <f>MAX(0,N73*Параметры!$C$14)</f>
        <v>1115743.6054555557</v>
      </c>
      <c r="P73" s="11">
        <f t="shared" si="22"/>
        <v>4462974.4218222219</v>
      </c>
      <c r="Q73" s="11">
        <v>0</v>
      </c>
      <c r="R73" s="11">
        <v>0</v>
      </c>
      <c r="S73" s="11">
        <f>MAX(0,MIN(Параметры!$C$26-M73,T72))</f>
        <v>0</v>
      </c>
      <c r="T73" s="11">
        <f t="shared" si="23"/>
        <v>0</v>
      </c>
      <c r="U73" s="11">
        <f t="shared" si="24"/>
        <v>3559971.3590118391</v>
      </c>
      <c r="V73" s="11">
        <f t="shared" si="17"/>
        <v>115081643.07955062</v>
      </c>
    </row>
    <row r="74" spans="1:22" x14ac:dyDescent="0.25">
      <c r="A74" s="13">
        <v>73</v>
      </c>
      <c r="B74" s="13" t="s">
        <v>134</v>
      </c>
      <c r="C74" s="14" t="s">
        <v>68</v>
      </c>
      <c r="D74" s="15">
        <f>Параметры!$C$4*Параметры!$C$7*(1+Параметры!$C$8)^INT((A74-Параметры!$C$11-1)/12)</f>
        <v>9411122.112997001</v>
      </c>
      <c r="E74" s="15">
        <f>D74/(1+Параметры!$C$13)</f>
        <v>7714034.5188500006</v>
      </c>
      <c r="F74" s="15">
        <f t="shared" si="18"/>
        <v>1697087.5941470005</v>
      </c>
      <c r="G74" s="15">
        <f>IF(AND(A74&gt;Параметры!$C$11,A74&lt;=Параметры!$C$11+3),Параметры!$C$28,0)</f>
        <v>0</v>
      </c>
      <c r="H74" s="15">
        <f t="shared" si="19"/>
        <v>1697087.5941470005</v>
      </c>
      <c r="I74" s="15">
        <f>E74*Параметры!$C$16</f>
        <v>771403.4518850001</v>
      </c>
      <c r="J74" s="15">
        <f>Параметры!$C$27</f>
        <v>683060.10928961751</v>
      </c>
      <c r="K74" s="15">
        <f>MAX(0,Параметры!$C$20-Параметры!$C$27*MAX(0,A74-Параметры!$C$11-1))*Параметры!$C$15/12</f>
        <v>225409.83606557376</v>
      </c>
      <c r="L74" s="15">
        <f t="shared" si="20"/>
        <v>6034161.1216098098</v>
      </c>
      <c r="M74" s="15">
        <f>T73*Параметры!$C$10/12</f>
        <v>0</v>
      </c>
      <c r="N74" s="15">
        <f t="shared" si="21"/>
        <v>6034161.1216098098</v>
      </c>
      <c r="O74" s="15">
        <f>MAX(0,N74*Параметры!$C$14)</f>
        <v>1206832.2243219621</v>
      </c>
      <c r="P74" s="15">
        <f t="shared" si="22"/>
        <v>4827328.8972878475</v>
      </c>
      <c r="Q74" s="15">
        <v>0</v>
      </c>
      <c r="R74" s="15">
        <v>0</v>
      </c>
      <c r="S74" s="15">
        <f>MAX(0,MIN(Параметры!$C$26-M74,T73))</f>
        <v>0</v>
      </c>
      <c r="T74" s="15">
        <f t="shared" si="23"/>
        <v>0</v>
      </c>
      <c r="U74" s="15">
        <f t="shared" si="24"/>
        <v>3813301.4124304643</v>
      </c>
      <c r="V74" s="15">
        <f t="shared" si="17"/>
        <v>118894944.49198109</v>
      </c>
    </row>
    <row r="75" spans="1:22" x14ac:dyDescent="0.25">
      <c r="A75" s="16">
        <v>74</v>
      </c>
      <c r="B75" s="16" t="s">
        <v>135</v>
      </c>
      <c r="C75" s="17" t="s">
        <v>68</v>
      </c>
      <c r="D75" s="11">
        <f>Параметры!$C$4*Параметры!$C$7*(1+Параметры!$C$8)^INT((A75-Параметры!$C$11-1)/12)</f>
        <v>9411122.112997001</v>
      </c>
      <c r="E75" s="11">
        <f>D75/(1+Параметры!$C$13)</f>
        <v>7714034.5188500006</v>
      </c>
      <c r="F75" s="11">
        <f t="shared" si="18"/>
        <v>1697087.5941470005</v>
      </c>
      <c r="G75" s="11">
        <f>IF(AND(A75&gt;Параметры!$C$11,A75&lt;=Параметры!$C$11+3),Параметры!$C$28,0)</f>
        <v>0</v>
      </c>
      <c r="H75" s="11">
        <f t="shared" si="19"/>
        <v>1697087.5941470005</v>
      </c>
      <c r="I75" s="11">
        <f>E75*Параметры!$C$16</f>
        <v>771403.4518850001</v>
      </c>
      <c r="J75" s="11">
        <f>Параметры!$C$27</f>
        <v>683060.10928961751</v>
      </c>
      <c r="K75" s="11">
        <f>MAX(0,Параметры!$C$20-Параметры!$C$27*MAX(0,A75-Параметры!$C$11-1))*Параметры!$C$15/12</f>
        <v>224157.55919854276</v>
      </c>
      <c r="L75" s="11">
        <f t="shared" si="20"/>
        <v>6035413.3984768409</v>
      </c>
      <c r="M75" s="11">
        <f>T74*Параметры!$C$10/12</f>
        <v>0</v>
      </c>
      <c r="N75" s="11">
        <f t="shared" si="21"/>
        <v>6035413.3984768409</v>
      </c>
      <c r="O75" s="11">
        <f>MAX(0,N75*Параметры!$C$14)</f>
        <v>1207082.6796953683</v>
      </c>
      <c r="P75" s="11">
        <f t="shared" si="22"/>
        <v>4828330.7187814731</v>
      </c>
      <c r="Q75" s="11">
        <v>0</v>
      </c>
      <c r="R75" s="11">
        <v>0</v>
      </c>
      <c r="S75" s="11">
        <f>MAX(0,MIN(Параметры!$C$26-M75,T74))</f>
        <v>0</v>
      </c>
      <c r="T75" s="11">
        <f t="shared" si="23"/>
        <v>0</v>
      </c>
      <c r="U75" s="11">
        <f t="shared" si="24"/>
        <v>3814303.2339240899</v>
      </c>
      <c r="V75" s="11">
        <f t="shared" si="17"/>
        <v>122709247.72590518</v>
      </c>
    </row>
    <row r="76" spans="1:22" x14ac:dyDescent="0.25">
      <c r="A76" s="13">
        <v>75</v>
      </c>
      <c r="B76" s="13" t="s">
        <v>136</v>
      </c>
      <c r="C76" s="14" t="s">
        <v>68</v>
      </c>
      <c r="D76" s="15">
        <f>Параметры!$C$4*Параметры!$C$7*(1+Параметры!$C$8)^INT((A76-Параметры!$C$11-1)/12)</f>
        <v>9411122.112997001</v>
      </c>
      <c r="E76" s="15">
        <f>D76/(1+Параметры!$C$13)</f>
        <v>7714034.5188500006</v>
      </c>
      <c r="F76" s="15">
        <f t="shared" si="18"/>
        <v>1697087.5941470005</v>
      </c>
      <c r="G76" s="15">
        <f>IF(AND(A76&gt;Параметры!$C$11,A76&lt;=Параметры!$C$11+3),Параметры!$C$28,0)</f>
        <v>0</v>
      </c>
      <c r="H76" s="15">
        <f t="shared" si="19"/>
        <v>1697087.5941470005</v>
      </c>
      <c r="I76" s="15">
        <f>E76*Параметры!$C$16</f>
        <v>771403.4518850001</v>
      </c>
      <c r="J76" s="15">
        <f>Параметры!$C$27</f>
        <v>683060.10928961751</v>
      </c>
      <c r="K76" s="15">
        <f>MAX(0,Параметры!$C$20-Параметры!$C$27*MAX(0,A76-Параметры!$C$11-1))*Параметры!$C$15/12</f>
        <v>222905.28233151181</v>
      </c>
      <c r="L76" s="15">
        <f t="shared" si="20"/>
        <v>6036665.675343872</v>
      </c>
      <c r="M76" s="15">
        <f>T75*Параметры!$C$10/12</f>
        <v>0</v>
      </c>
      <c r="N76" s="15">
        <f t="shared" si="21"/>
        <v>6036665.675343872</v>
      </c>
      <c r="O76" s="15">
        <f>MAX(0,N76*Параметры!$C$14)</f>
        <v>1207333.1350687745</v>
      </c>
      <c r="P76" s="15">
        <f t="shared" si="22"/>
        <v>4829332.5402750978</v>
      </c>
      <c r="Q76" s="15">
        <v>0</v>
      </c>
      <c r="R76" s="15">
        <v>0</v>
      </c>
      <c r="S76" s="15">
        <f>MAX(0,MIN(Параметры!$C$26-M76,T75))</f>
        <v>0</v>
      </c>
      <c r="T76" s="15">
        <f t="shared" si="23"/>
        <v>0</v>
      </c>
      <c r="U76" s="15">
        <f t="shared" si="24"/>
        <v>3815305.0554177146</v>
      </c>
      <c r="V76" s="15">
        <f t="shared" si="17"/>
        <v>126524552.7813229</v>
      </c>
    </row>
    <row r="77" spans="1:22" x14ac:dyDescent="0.25">
      <c r="A77" s="16">
        <v>76</v>
      </c>
      <c r="B77" s="16" t="s">
        <v>137</v>
      </c>
      <c r="C77" s="17" t="s">
        <v>68</v>
      </c>
      <c r="D77" s="11">
        <f>Параметры!$C$4*Параметры!$C$7*(1+Параметры!$C$8)^INT((A77-Параметры!$C$11-1)/12)</f>
        <v>9411122.112997001</v>
      </c>
      <c r="E77" s="11">
        <f>D77/(1+Параметры!$C$13)</f>
        <v>7714034.5188500006</v>
      </c>
      <c r="F77" s="11">
        <f t="shared" si="18"/>
        <v>1697087.5941470005</v>
      </c>
      <c r="G77" s="11">
        <f>IF(AND(A77&gt;Параметры!$C$11,A77&lt;=Параметры!$C$11+3),Параметры!$C$28,0)</f>
        <v>0</v>
      </c>
      <c r="H77" s="11">
        <f t="shared" si="19"/>
        <v>1697087.5941470005</v>
      </c>
      <c r="I77" s="11">
        <f>E77*Параметры!$C$16</f>
        <v>771403.4518850001</v>
      </c>
      <c r="J77" s="11">
        <f>Параметры!$C$27</f>
        <v>683060.10928961751</v>
      </c>
      <c r="K77" s="11">
        <f>MAX(0,Параметры!$C$20-Параметры!$C$27*MAX(0,A77-Параметры!$C$11-1))*Параметры!$C$15/12</f>
        <v>221653.00546448084</v>
      </c>
      <c r="L77" s="11">
        <f t="shared" si="20"/>
        <v>6037917.9522109022</v>
      </c>
      <c r="M77" s="11">
        <f>T76*Параметры!$C$10/12</f>
        <v>0</v>
      </c>
      <c r="N77" s="11">
        <f t="shared" si="21"/>
        <v>6037917.9522109022</v>
      </c>
      <c r="O77" s="11">
        <f>MAX(0,N77*Параметры!$C$14)</f>
        <v>1207583.5904421804</v>
      </c>
      <c r="P77" s="11">
        <f t="shared" si="22"/>
        <v>4830334.3617687216</v>
      </c>
      <c r="Q77" s="11">
        <v>0</v>
      </c>
      <c r="R77" s="11">
        <v>0</v>
      </c>
      <c r="S77" s="11">
        <f>MAX(0,MIN(Параметры!$C$26-M77,T76))</f>
        <v>0</v>
      </c>
      <c r="T77" s="11">
        <f t="shared" si="23"/>
        <v>0</v>
      </c>
      <c r="U77" s="11">
        <f t="shared" si="24"/>
        <v>3816306.8769113384</v>
      </c>
      <c r="V77" s="11">
        <f t="shared" si="17"/>
        <v>130340859.65823424</v>
      </c>
    </row>
    <row r="78" spans="1:22" x14ac:dyDescent="0.25">
      <c r="A78" s="13">
        <v>77</v>
      </c>
      <c r="B78" s="13" t="s">
        <v>138</v>
      </c>
      <c r="C78" s="14" t="s">
        <v>68</v>
      </c>
      <c r="D78" s="15">
        <f>Параметры!$C$4*Параметры!$C$7*(1+Параметры!$C$8)^INT((A78-Параметры!$C$11-1)/12)</f>
        <v>9411122.112997001</v>
      </c>
      <c r="E78" s="15">
        <f>D78/(1+Параметры!$C$13)</f>
        <v>7714034.5188500006</v>
      </c>
      <c r="F78" s="15">
        <f t="shared" si="18"/>
        <v>1697087.5941470005</v>
      </c>
      <c r="G78" s="15">
        <f>IF(AND(A78&gt;Параметры!$C$11,A78&lt;=Параметры!$C$11+3),Параметры!$C$28,0)</f>
        <v>0</v>
      </c>
      <c r="H78" s="15">
        <f t="shared" si="19"/>
        <v>1697087.5941470005</v>
      </c>
      <c r="I78" s="15">
        <f>E78*Параметры!$C$16</f>
        <v>771403.4518850001</v>
      </c>
      <c r="J78" s="15">
        <f>Параметры!$C$27</f>
        <v>683060.10928961751</v>
      </c>
      <c r="K78" s="15">
        <f>MAX(0,Параметры!$C$20-Параметры!$C$27*MAX(0,A78-Параметры!$C$11-1))*Параметры!$C$15/12</f>
        <v>220400.72859744987</v>
      </c>
      <c r="L78" s="15">
        <f t="shared" si="20"/>
        <v>6039170.2290779334</v>
      </c>
      <c r="M78" s="15">
        <f>T77*Параметры!$C$10/12</f>
        <v>0</v>
      </c>
      <c r="N78" s="15">
        <f t="shared" si="21"/>
        <v>6039170.2290779334</v>
      </c>
      <c r="O78" s="15">
        <f>MAX(0,N78*Параметры!$C$14)</f>
        <v>1207834.0458155868</v>
      </c>
      <c r="P78" s="15">
        <f t="shared" si="22"/>
        <v>4831336.1832623463</v>
      </c>
      <c r="Q78" s="15">
        <v>0</v>
      </c>
      <c r="R78" s="15">
        <v>0</v>
      </c>
      <c r="S78" s="15">
        <f>MAX(0,MIN(Параметры!$C$26-M78,T77))</f>
        <v>0</v>
      </c>
      <c r="T78" s="15">
        <f t="shared" si="23"/>
        <v>0</v>
      </c>
      <c r="U78" s="15">
        <f t="shared" si="24"/>
        <v>3817308.6984049631</v>
      </c>
      <c r="V78" s="15">
        <f t="shared" si="17"/>
        <v>134158168.35663921</v>
      </c>
    </row>
    <row r="79" spans="1:22" x14ac:dyDescent="0.25">
      <c r="A79" s="16">
        <v>78</v>
      </c>
      <c r="B79" s="16" t="s">
        <v>139</v>
      </c>
      <c r="C79" s="17" t="s">
        <v>68</v>
      </c>
      <c r="D79" s="11">
        <f>Параметры!$C$4*Параметры!$C$7*(1+Параметры!$C$8)^INT((A79-Параметры!$C$11-1)/12)</f>
        <v>9411122.112997001</v>
      </c>
      <c r="E79" s="11">
        <f>D79/(1+Параметры!$C$13)</f>
        <v>7714034.5188500006</v>
      </c>
      <c r="F79" s="11">
        <f t="shared" si="18"/>
        <v>1697087.5941470005</v>
      </c>
      <c r="G79" s="11">
        <f>IF(AND(A79&gt;Параметры!$C$11,A79&lt;=Параметры!$C$11+3),Параметры!$C$28,0)</f>
        <v>0</v>
      </c>
      <c r="H79" s="11">
        <f t="shared" si="19"/>
        <v>1697087.5941470005</v>
      </c>
      <c r="I79" s="11">
        <f>E79*Параметры!$C$16</f>
        <v>771403.4518850001</v>
      </c>
      <c r="J79" s="11">
        <f>Параметры!$C$27</f>
        <v>683060.10928961751</v>
      </c>
      <c r="K79" s="11">
        <f>MAX(0,Параметры!$C$20-Параметры!$C$27*MAX(0,A79-Параметры!$C$11-1))*Параметры!$C$15/12</f>
        <v>219148.45173041892</v>
      </c>
      <c r="L79" s="11">
        <f t="shared" si="20"/>
        <v>6040422.5059449645</v>
      </c>
      <c r="M79" s="11">
        <f>T78*Параметры!$C$10/12</f>
        <v>0</v>
      </c>
      <c r="N79" s="11">
        <f t="shared" si="21"/>
        <v>6040422.5059449645</v>
      </c>
      <c r="O79" s="11">
        <f>MAX(0,N79*Параметры!$C$14)</f>
        <v>1208084.501188993</v>
      </c>
      <c r="P79" s="11">
        <f t="shared" si="22"/>
        <v>4832338.004755972</v>
      </c>
      <c r="Q79" s="11">
        <v>0</v>
      </c>
      <c r="R79" s="11">
        <v>0</v>
      </c>
      <c r="S79" s="11">
        <f>MAX(0,MIN(Параметры!$C$26-M79,T78))</f>
        <v>0</v>
      </c>
      <c r="T79" s="11">
        <f t="shared" si="23"/>
        <v>0</v>
      </c>
      <c r="U79" s="11">
        <f t="shared" si="24"/>
        <v>3818310.5198985888</v>
      </c>
      <c r="V79" s="11">
        <f t="shared" si="17"/>
        <v>137976478.8765378</v>
      </c>
    </row>
    <row r="80" spans="1:22" x14ac:dyDescent="0.25">
      <c r="A80" s="13">
        <v>79</v>
      </c>
      <c r="B80" s="13" t="s">
        <v>140</v>
      </c>
      <c r="C80" s="14" t="s">
        <v>68</v>
      </c>
      <c r="D80" s="15">
        <f>Параметры!$C$4*Параметры!$C$7*(1+Параметры!$C$8)^INT((A80-Параметры!$C$11-1)/12)</f>
        <v>9411122.112997001</v>
      </c>
      <c r="E80" s="15">
        <f>D80/(1+Параметры!$C$13)</f>
        <v>7714034.5188500006</v>
      </c>
      <c r="F80" s="15">
        <f t="shared" si="18"/>
        <v>1697087.5941470005</v>
      </c>
      <c r="G80" s="15">
        <f>IF(AND(A80&gt;Параметры!$C$11,A80&lt;=Параметры!$C$11+3),Параметры!$C$28,0)</f>
        <v>0</v>
      </c>
      <c r="H80" s="15">
        <f t="shared" si="19"/>
        <v>1697087.5941470005</v>
      </c>
      <c r="I80" s="15">
        <f>E80*Параметры!$C$16</f>
        <v>771403.4518850001</v>
      </c>
      <c r="J80" s="15">
        <f>Параметры!$C$27</f>
        <v>683060.10928961751</v>
      </c>
      <c r="K80" s="15">
        <f>MAX(0,Параметры!$C$20-Параметры!$C$27*MAX(0,A80-Параметры!$C$11-1))*Параметры!$C$15/12</f>
        <v>217896.17486338795</v>
      </c>
      <c r="L80" s="15">
        <f t="shared" si="20"/>
        <v>6041674.7828119956</v>
      </c>
      <c r="M80" s="15">
        <f>T79*Параметры!$C$10/12</f>
        <v>0</v>
      </c>
      <c r="N80" s="15">
        <f t="shared" si="21"/>
        <v>6041674.7828119956</v>
      </c>
      <c r="O80" s="15">
        <f>MAX(0,N80*Параметры!$C$14)</f>
        <v>1208334.9565623992</v>
      </c>
      <c r="P80" s="15">
        <f t="shared" si="22"/>
        <v>4833339.8262495967</v>
      </c>
      <c r="Q80" s="15">
        <v>0</v>
      </c>
      <c r="R80" s="15">
        <v>0</v>
      </c>
      <c r="S80" s="15">
        <f>MAX(0,MIN(Параметры!$C$26-M80,T79))</f>
        <v>0</v>
      </c>
      <c r="T80" s="15">
        <f t="shared" si="23"/>
        <v>0</v>
      </c>
      <c r="U80" s="15">
        <f t="shared" si="24"/>
        <v>3819312.3413922135</v>
      </c>
      <c r="V80" s="15">
        <f t="shared" si="17"/>
        <v>141795791.21793002</v>
      </c>
    </row>
    <row r="81" spans="1:22" x14ac:dyDescent="0.25">
      <c r="A81" s="16">
        <v>80</v>
      </c>
      <c r="B81" s="16" t="s">
        <v>141</v>
      </c>
      <c r="C81" s="17" t="s">
        <v>68</v>
      </c>
      <c r="D81" s="11">
        <f>Параметры!$C$4*Параметры!$C$7*(1+Параметры!$C$8)^INT((A81-Параметры!$C$11-1)/12)</f>
        <v>9411122.112997001</v>
      </c>
      <c r="E81" s="11">
        <f>D81/(1+Параметры!$C$13)</f>
        <v>7714034.5188500006</v>
      </c>
      <c r="F81" s="11">
        <f t="shared" si="18"/>
        <v>1697087.5941470005</v>
      </c>
      <c r="G81" s="11">
        <f>IF(AND(A81&gt;Параметры!$C$11,A81&lt;=Параметры!$C$11+3),Параметры!$C$28,0)</f>
        <v>0</v>
      </c>
      <c r="H81" s="11">
        <f t="shared" si="19"/>
        <v>1697087.5941470005</v>
      </c>
      <c r="I81" s="11">
        <f>E81*Параметры!$C$16</f>
        <v>771403.4518850001</v>
      </c>
      <c r="J81" s="11">
        <f>Параметры!$C$27</f>
        <v>683060.10928961751</v>
      </c>
      <c r="K81" s="11">
        <f>MAX(0,Параметры!$C$20-Параметры!$C$27*MAX(0,A81-Параметры!$C$11-1))*Параметры!$C$15/12</f>
        <v>216643.89799635697</v>
      </c>
      <c r="L81" s="11">
        <f t="shared" si="20"/>
        <v>6042927.0596790267</v>
      </c>
      <c r="M81" s="11">
        <f>T80*Параметры!$C$10/12</f>
        <v>0</v>
      </c>
      <c r="N81" s="11">
        <f t="shared" si="21"/>
        <v>6042927.0596790267</v>
      </c>
      <c r="O81" s="11">
        <f>MAX(0,N81*Параметры!$C$14)</f>
        <v>1208585.4119358053</v>
      </c>
      <c r="P81" s="11">
        <f t="shared" si="22"/>
        <v>4834341.6477432214</v>
      </c>
      <c r="Q81" s="11">
        <v>0</v>
      </c>
      <c r="R81" s="11">
        <v>0</v>
      </c>
      <c r="S81" s="11">
        <f>MAX(0,MIN(Параметры!$C$26-M81,T80))</f>
        <v>0</v>
      </c>
      <c r="T81" s="11">
        <f t="shared" si="23"/>
        <v>0</v>
      </c>
      <c r="U81" s="11">
        <f t="shared" si="24"/>
        <v>3820314.1628858382</v>
      </c>
      <c r="V81" s="11">
        <f t="shared" si="17"/>
        <v>145616105.38081586</v>
      </c>
    </row>
    <row r="82" spans="1:22" x14ac:dyDescent="0.25">
      <c r="A82" s="13">
        <v>81</v>
      </c>
      <c r="B82" s="13" t="s">
        <v>142</v>
      </c>
      <c r="C82" s="14" t="s">
        <v>68</v>
      </c>
      <c r="D82" s="15">
        <f>Параметры!$C$4*Параметры!$C$7*(1+Параметры!$C$8)^INT((A82-Параметры!$C$11-1)/12)</f>
        <v>9411122.112997001</v>
      </c>
      <c r="E82" s="15">
        <f>D82/(1+Параметры!$C$13)</f>
        <v>7714034.5188500006</v>
      </c>
      <c r="F82" s="15">
        <f t="shared" si="18"/>
        <v>1697087.5941470005</v>
      </c>
      <c r="G82" s="15">
        <f>IF(AND(A82&gt;Параметры!$C$11,A82&lt;=Параметры!$C$11+3),Параметры!$C$28,0)</f>
        <v>0</v>
      </c>
      <c r="H82" s="15">
        <f t="shared" si="19"/>
        <v>1697087.5941470005</v>
      </c>
      <c r="I82" s="15">
        <f>E82*Параметры!$C$16</f>
        <v>771403.4518850001</v>
      </c>
      <c r="J82" s="15">
        <f>Параметры!$C$27</f>
        <v>683060.10928961751</v>
      </c>
      <c r="K82" s="15">
        <f>MAX(0,Параметры!$C$20-Параметры!$C$27*MAX(0,A82-Параметры!$C$11-1))*Параметры!$C$15/12</f>
        <v>215391.62112932603</v>
      </c>
      <c r="L82" s="15">
        <f t="shared" si="20"/>
        <v>6044179.3365460578</v>
      </c>
      <c r="M82" s="15">
        <f>T81*Параметры!$C$10/12</f>
        <v>0</v>
      </c>
      <c r="N82" s="15">
        <f t="shared" si="21"/>
        <v>6044179.3365460578</v>
      </c>
      <c r="O82" s="15">
        <f>MAX(0,N82*Параметры!$C$14)</f>
        <v>1208835.8673092115</v>
      </c>
      <c r="P82" s="15">
        <f t="shared" si="22"/>
        <v>4835343.4692368461</v>
      </c>
      <c r="Q82" s="15">
        <v>0</v>
      </c>
      <c r="R82" s="15">
        <v>0</v>
      </c>
      <c r="S82" s="15">
        <f>MAX(0,MIN(Параметры!$C$26-M82,T81))</f>
        <v>0</v>
      </c>
      <c r="T82" s="15">
        <f t="shared" si="23"/>
        <v>0</v>
      </c>
      <c r="U82" s="15">
        <f t="shared" si="24"/>
        <v>3821315.9843794629</v>
      </c>
      <c r="V82" s="15">
        <f t="shared" si="17"/>
        <v>149437421.36519533</v>
      </c>
    </row>
    <row r="83" spans="1:22" x14ac:dyDescent="0.25">
      <c r="A83" s="16">
        <v>82</v>
      </c>
      <c r="B83" s="16" t="s">
        <v>143</v>
      </c>
      <c r="C83" s="17" t="s">
        <v>68</v>
      </c>
      <c r="D83" s="11">
        <f>Параметры!$C$4*Параметры!$C$7*(1+Параметры!$C$8)^INT((A83-Параметры!$C$11-1)/12)</f>
        <v>9411122.112997001</v>
      </c>
      <c r="E83" s="11">
        <f>D83/(1+Параметры!$C$13)</f>
        <v>7714034.5188500006</v>
      </c>
      <c r="F83" s="11">
        <f t="shared" si="18"/>
        <v>1697087.5941470005</v>
      </c>
      <c r="G83" s="11">
        <f>IF(AND(A83&gt;Параметры!$C$11,A83&lt;=Параметры!$C$11+3),Параметры!$C$28,0)</f>
        <v>0</v>
      </c>
      <c r="H83" s="11">
        <f t="shared" si="19"/>
        <v>1697087.5941470005</v>
      </c>
      <c r="I83" s="11">
        <f>E83*Параметры!$C$16</f>
        <v>771403.4518850001</v>
      </c>
      <c r="J83" s="11">
        <f>Параметры!$C$27</f>
        <v>683060.10928961751</v>
      </c>
      <c r="K83" s="11">
        <f>MAX(0,Параметры!$C$20-Параметры!$C$27*MAX(0,A83-Параметры!$C$11-1))*Параметры!$C$15/12</f>
        <v>214139.34426229505</v>
      </c>
      <c r="L83" s="11">
        <f t="shared" si="20"/>
        <v>6045431.613413088</v>
      </c>
      <c r="M83" s="11">
        <f>T82*Параметры!$C$10/12</f>
        <v>0</v>
      </c>
      <c r="N83" s="11">
        <f t="shared" si="21"/>
        <v>6045431.613413088</v>
      </c>
      <c r="O83" s="11">
        <f>MAX(0,N83*Параметры!$C$14)</f>
        <v>1209086.3226826177</v>
      </c>
      <c r="P83" s="11">
        <f t="shared" si="22"/>
        <v>4836345.2907304708</v>
      </c>
      <c r="Q83" s="11">
        <v>0</v>
      </c>
      <c r="R83" s="11">
        <v>0</v>
      </c>
      <c r="S83" s="11">
        <f>MAX(0,MIN(Параметры!$C$26-M83,T82))</f>
        <v>0</v>
      </c>
      <c r="T83" s="11">
        <f t="shared" si="23"/>
        <v>0</v>
      </c>
      <c r="U83" s="11">
        <f t="shared" si="24"/>
        <v>3822317.8058730876</v>
      </c>
      <c r="V83" s="11">
        <f t="shared" si="17"/>
        <v>153259739.17106843</v>
      </c>
    </row>
    <row r="84" spans="1:22" x14ac:dyDescent="0.25">
      <c r="A84" s="13">
        <v>83</v>
      </c>
      <c r="B84" s="13" t="s">
        <v>144</v>
      </c>
      <c r="C84" s="14" t="s">
        <v>68</v>
      </c>
      <c r="D84" s="15">
        <f>Параметры!$C$4*Параметры!$C$7*(1+Параметры!$C$8)^INT((A84-Параметры!$C$11-1)/12)</f>
        <v>9411122.112997001</v>
      </c>
      <c r="E84" s="15">
        <f>D84/(1+Параметры!$C$13)</f>
        <v>7714034.5188500006</v>
      </c>
      <c r="F84" s="15">
        <f t="shared" si="18"/>
        <v>1697087.5941470005</v>
      </c>
      <c r="G84" s="15">
        <f>IF(AND(A84&gt;Параметры!$C$11,A84&lt;=Параметры!$C$11+3),Параметры!$C$28,0)</f>
        <v>0</v>
      </c>
      <c r="H84" s="15">
        <f t="shared" si="19"/>
        <v>1697087.5941470005</v>
      </c>
      <c r="I84" s="15">
        <f>E84*Параметры!$C$16</f>
        <v>771403.4518850001</v>
      </c>
      <c r="J84" s="15">
        <f>Параметры!$C$27</f>
        <v>683060.10928961751</v>
      </c>
      <c r="K84" s="15">
        <f>MAX(0,Параметры!$C$20-Параметры!$C$27*MAX(0,A84-Параметры!$C$11-1))*Параметры!$C$15/12</f>
        <v>212887.06739526408</v>
      </c>
      <c r="L84" s="15">
        <f t="shared" si="20"/>
        <v>6046683.8902801191</v>
      </c>
      <c r="M84" s="15">
        <f>T83*Параметры!$C$10/12</f>
        <v>0</v>
      </c>
      <c r="N84" s="15">
        <f t="shared" si="21"/>
        <v>6046683.8902801191</v>
      </c>
      <c r="O84" s="15">
        <f>MAX(0,N84*Параметры!$C$14)</f>
        <v>1209336.7780560239</v>
      </c>
      <c r="P84" s="15">
        <f t="shared" si="22"/>
        <v>4837347.1122240955</v>
      </c>
      <c r="Q84" s="15">
        <v>0</v>
      </c>
      <c r="R84" s="15">
        <v>0</v>
      </c>
      <c r="S84" s="15">
        <f>MAX(0,MIN(Параметры!$C$26-M84,T83))</f>
        <v>0</v>
      </c>
      <c r="T84" s="15">
        <f t="shared" si="23"/>
        <v>0</v>
      </c>
      <c r="U84" s="15">
        <f t="shared" si="24"/>
        <v>3823319.6273667123</v>
      </c>
      <c r="V84" s="15">
        <f t="shared" si="17"/>
        <v>157083058.79843515</v>
      </c>
    </row>
    <row r="85" spans="1:22" x14ac:dyDescent="0.25">
      <c r="A85" s="16">
        <v>84</v>
      </c>
      <c r="B85" s="16" t="s">
        <v>145</v>
      </c>
      <c r="C85" s="17" t="s">
        <v>68</v>
      </c>
      <c r="D85" s="11">
        <f>Параметры!$C$4*Параметры!$C$7*(1+Параметры!$C$8)^INT((A85-Параметры!$C$11-1)/12)</f>
        <v>9411122.112997001</v>
      </c>
      <c r="E85" s="11">
        <f>D85/(1+Параметры!$C$13)</f>
        <v>7714034.5188500006</v>
      </c>
      <c r="F85" s="11">
        <f t="shared" si="18"/>
        <v>1697087.5941470005</v>
      </c>
      <c r="G85" s="11">
        <f>IF(AND(A85&gt;Параметры!$C$11,A85&lt;=Параметры!$C$11+3),Параметры!$C$28,0)</f>
        <v>0</v>
      </c>
      <c r="H85" s="11">
        <f t="shared" si="19"/>
        <v>1697087.5941470005</v>
      </c>
      <c r="I85" s="11">
        <f>E85*Параметры!$C$16</f>
        <v>771403.4518850001</v>
      </c>
      <c r="J85" s="11">
        <f>Параметры!$C$27</f>
        <v>683060.10928961751</v>
      </c>
      <c r="K85" s="11">
        <f>MAX(0,Параметры!$C$20-Параметры!$C$27*MAX(0,A85-Параметры!$C$11-1))*Параметры!$C$15/12</f>
        <v>211634.79052823313</v>
      </c>
      <c r="L85" s="11">
        <f t="shared" si="20"/>
        <v>6047936.1671471503</v>
      </c>
      <c r="M85" s="11">
        <f>T84*Параметры!$C$10/12</f>
        <v>0</v>
      </c>
      <c r="N85" s="11">
        <f t="shared" si="21"/>
        <v>6047936.1671471503</v>
      </c>
      <c r="O85" s="11">
        <f>MAX(0,N85*Параметры!$C$14)</f>
        <v>1209587.2334294301</v>
      </c>
      <c r="P85" s="11">
        <f t="shared" si="22"/>
        <v>4838348.9337177202</v>
      </c>
      <c r="Q85" s="11">
        <v>0</v>
      </c>
      <c r="R85" s="11">
        <v>0</v>
      </c>
      <c r="S85" s="11">
        <f>MAX(0,MIN(Параметры!$C$26-M85,T84))</f>
        <v>0</v>
      </c>
      <c r="T85" s="11">
        <f t="shared" si="23"/>
        <v>0</v>
      </c>
      <c r="U85" s="11">
        <f t="shared" si="24"/>
        <v>3824321.448860337</v>
      </c>
      <c r="V85" s="11">
        <f t="shared" si="17"/>
        <v>160907380.2472955</v>
      </c>
    </row>
    <row r="86" spans="1:22" x14ac:dyDescent="0.25">
      <c r="A86" s="13">
        <v>85</v>
      </c>
      <c r="B86" s="13" t="s">
        <v>146</v>
      </c>
      <c r="C86" s="14" t="s">
        <v>68</v>
      </c>
      <c r="D86" s="15">
        <f>Параметры!$C$4*Параметры!$C$7*(1+Параметры!$C$8)^INT((A86-Параметры!$C$11-1)/12)</f>
        <v>10069900.66090679</v>
      </c>
      <c r="E86" s="15">
        <f>D86/(1+Параметры!$C$13)</f>
        <v>8254016.9351695003</v>
      </c>
      <c r="F86" s="15">
        <f t="shared" si="18"/>
        <v>1815883.7257372895</v>
      </c>
      <c r="G86" s="15">
        <f>IF(AND(A86&gt;Параметры!$C$11,A86&lt;=Параметры!$C$11+3),Параметры!$C$28,0)</f>
        <v>0</v>
      </c>
      <c r="H86" s="15">
        <f t="shared" si="19"/>
        <v>1815883.7257372895</v>
      </c>
      <c r="I86" s="15">
        <f>E86*Параметры!$C$16</f>
        <v>825401.69351695012</v>
      </c>
      <c r="J86" s="15">
        <f>Параметры!$C$27</f>
        <v>683060.10928961751</v>
      </c>
      <c r="K86" s="15">
        <f>MAX(0,Параметры!$C$20-Параметры!$C$27*MAX(0,A86-Параметры!$C$11-1))*Параметры!$C$15/12</f>
        <v>210382.51366120216</v>
      </c>
      <c r="L86" s="15">
        <f t="shared" si="20"/>
        <v>6535172.6187017309</v>
      </c>
      <c r="M86" s="15">
        <f>T85*Параметры!$C$10/12</f>
        <v>0</v>
      </c>
      <c r="N86" s="15">
        <f t="shared" si="21"/>
        <v>6535172.6187017309</v>
      </c>
      <c r="O86" s="15">
        <f>MAX(0,N86*Параметры!$C$14)</f>
        <v>1307034.5237403463</v>
      </c>
      <c r="P86" s="15">
        <f t="shared" si="22"/>
        <v>5228138.0949613843</v>
      </c>
      <c r="Q86" s="15">
        <v>0</v>
      </c>
      <c r="R86" s="15">
        <v>0</v>
      </c>
      <c r="S86" s="15">
        <f>MAX(0,MIN(Параметры!$C$26-M86,T85))</f>
        <v>0</v>
      </c>
      <c r="T86" s="15">
        <f t="shared" si="23"/>
        <v>0</v>
      </c>
      <c r="U86" s="15">
        <f t="shared" si="24"/>
        <v>4095314.4785137121</v>
      </c>
      <c r="V86" s="15">
        <f t="shared" si="17"/>
        <v>165002694.72580922</v>
      </c>
    </row>
    <row r="87" spans="1:22" x14ac:dyDescent="0.25">
      <c r="A87" s="16">
        <v>86</v>
      </c>
      <c r="B87" s="16" t="s">
        <v>147</v>
      </c>
      <c r="C87" s="17" t="s">
        <v>68</v>
      </c>
      <c r="D87" s="11">
        <f>Параметры!$C$4*Параметры!$C$7*(1+Параметры!$C$8)^INT((A87-Параметры!$C$11-1)/12)</f>
        <v>10069900.66090679</v>
      </c>
      <c r="E87" s="11">
        <f>D87/(1+Параметры!$C$13)</f>
        <v>8254016.9351695003</v>
      </c>
      <c r="F87" s="11">
        <f t="shared" si="18"/>
        <v>1815883.7257372895</v>
      </c>
      <c r="G87" s="11">
        <f>IF(AND(A87&gt;Параметры!$C$11,A87&lt;=Параметры!$C$11+3),Параметры!$C$28,0)</f>
        <v>0</v>
      </c>
      <c r="H87" s="11">
        <f t="shared" si="19"/>
        <v>1815883.7257372895</v>
      </c>
      <c r="I87" s="11">
        <f>E87*Параметры!$C$16</f>
        <v>825401.69351695012</v>
      </c>
      <c r="J87" s="11">
        <f>Параметры!$C$27</f>
        <v>683060.10928961751</v>
      </c>
      <c r="K87" s="11">
        <f>MAX(0,Параметры!$C$20-Параметры!$C$27*MAX(0,A87-Параметры!$C$11-1))*Параметры!$C$15/12</f>
        <v>209130.23679417119</v>
      </c>
      <c r="L87" s="11">
        <f t="shared" si="20"/>
        <v>6536424.895568762</v>
      </c>
      <c r="M87" s="11">
        <f>T86*Параметры!$C$10/12</f>
        <v>0</v>
      </c>
      <c r="N87" s="11">
        <f t="shared" si="21"/>
        <v>6536424.895568762</v>
      </c>
      <c r="O87" s="11">
        <f>MAX(0,N87*Параметры!$C$14)</f>
        <v>1307284.9791137525</v>
      </c>
      <c r="P87" s="11">
        <f t="shared" si="22"/>
        <v>5229139.91645501</v>
      </c>
      <c r="Q87" s="11">
        <v>0</v>
      </c>
      <c r="R87" s="11">
        <v>0</v>
      </c>
      <c r="S87" s="11">
        <f>MAX(0,MIN(Параметры!$C$26-M87,T86))</f>
        <v>0</v>
      </c>
      <c r="T87" s="11">
        <f t="shared" si="23"/>
        <v>0</v>
      </c>
      <c r="U87" s="11">
        <f t="shared" si="24"/>
        <v>4096316.3000073377</v>
      </c>
      <c r="V87" s="11">
        <f t="shared" si="17"/>
        <v>169099011.02581656</v>
      </c>
    </row>
    <row r="88" spans="1:22" x14ac:dyDescent="0.25">
      <c r="A88" s="13">
        <v>87</v>
      </c>
      <c r="B88" s="13" t="s">
        <v>148</v>
      </c>
      <c r="C88" s="14" t="s">
        <v>68</v>
      </c>
      <c r="D88" s="15">
        <f>Параметры!$C$4*Параметры!$C$7*(1+Параметры!$C$8)^INT((A88-Параметры!$C$11-1)/12)</f>
        <v>10069900.66090679</v>
      </c>
      <c r="E88" s="15">
        <f>D88/(1+Параметры!$C$13)</f>
        <v>8254016.9351695003</v>
      </c>
      <c r="F88" s="15">
        <f t="shared" si="18"/>
        <v>1815883.7257372895</v>
      </c>
      <c r="G88" s="15">
        <f>IF(AND(A88&gt;Параметры!$C$11,A88&lt;=Параметры!$C$11+3),Параметры!$C$28,0)</f>
        <v>0</v>
      </c>
      <c r="H88" s="15">
        <f t="shared" si="19"/>
        <v>1815883.7257372895</v>
      </c>
      <c r="I88" s="15">
        <f>E88*Параметры!$C$16</f>
        <v>825401.69351695012</v>
      </c>
      <c r="J88" s="15">
        <f>Параметры!$C$27</f>
        <v>683060.10928961751</v>
      </c>
      <c r="K88" s="15">
        <f>MAX(0,Параметры!$C$20-Параметры!$C$27*MAX(0,A88-Параметры!$C$11-1))*Параметры!$C$15/12</f>
        <v>207877.95992714024</v>
      </c>
      <c r="L88" s="15">
        <f t="shared" si="20"/>
        <v>6537677.1724357931</v>
      </c>
      <c r="M88" s="15">
        <f>T87*Параметры!$C$10/12</f>
        <v>0</v>
      </c>
      <c r="N88" s="15">
        <f t="shared" si="21"/>
        <v>6537677.1724357931</v>
      </c>
      <c r="O88" s="15">
        <f>MAX(0,N88*Параметры!$C$14)</f>
        <v>1307535.4344871587</v>
      </c>
      <c r="P88" s="15">
        <f t="shared" si="22"/>
        <v>5230141.7379486347</v>
      </c>
      <c r="Q88" s="15">
        <v>0</v>
      </c>
      <c r="R88" s="15">
        <v>0</v>
      </c>
      <c r="S88" s="15">
        <f>MAX(0,MIN(Параметры!$C$26-M88,T87))</f>
        <v>0</v>
      </c>
      <c r="T88" s="15">
        <f t="shared" si="23"/>
        <v>0</v>
      </c>
      <c r="U88" s="15">
        <f t="shared" si="24"/>
        <v>4097318.1215009624</v>
      </c>
      <c r="V88" s="15">
        <f t="shared" si="17"/>
        <v>173196329.14731753</v>
      </c>
    </row>
    <row r="89" spans="1:22" x14ac:dyDescent="0.25">
      <c r="A89" s="16">
        <v>88</v>
      </c>
      <c r="B89" s="16" t="s">
        <v>149</v>
      </c>
      <c r="C89" s="17" t="s">
        <v>68</v>
      </c>
      <c r="D89" s="11">
        <f>Параметры!$C$4*Параметры!$C$7*(1+Параметры!$C$8)^INT((A89-Параметры!$C$11-1)/12)</f>
        <v>10069900.66090679</v>
      </c>
      <c r="E89" s="11">
        <f>D89/(1+Параметры!$C$13)</f>
        <v>8254016.9351695003</v>
      </c>
      <c r="F89" s="11">
        <f t="shared" si="18"/>
        <v>1815883.7257372895</v>
      </c>
      <c r="G89" s="11">
        <f>IF(AND(A89&gt;Параметры!$C$11,A89&lt;=Параметры!$C$11+3),Параметры!$C$28,0)</f>
        <v>0</v>
      </c>
      <c r="H89" s="11">
        <f t="shared" si="19"/>
        <v>1815883.7257372895</v>
      </c>
      <c r="I89" s="11">
        <f>E89*Параметры!$C$16</f>
        <v>825401.69351695012</v>
      </c>
      <c r="J89" s="11">
        <f>Параметры!$C$27</f>
        <v>683060.10928961751</v>
      </c>
      <c r="K89" s="11">
        <f>MAX(0,Параметры!$C$20-Параметры!$C$27*MAX(0,A89-Параметры!$C$11-1))*Параметры!$C$15/12</f>
        <v>206625.68306010927</v>
      </c>
      <c r="L89" s="11">
        <f t="shared" si="20"/>
        <v>6538929.4493028233</v>
      </c>
      <c r="M89" s="11">
        <f>T88*Параметры!$C$10/12</f>
        <v>0</v>
      </c>
      <c r="N89" s="11">
        <f t="shared" si="21"/>
        <v>6538929.4493028233</v>
      </c>
      <c r="O89" s="11">
        <f>MAX(0,N89*Параметры!$C$14)</f>
        <v>1307785.8898605648</v>
      </c>
      <c r="P89" s="11">
        <f t="shared" si="22"/>
        <v>5231143.5594422584</v>
      </c>
      <c r="Q89" s="11">
        <v>0</v>
      </c>
      <c r="R89" s="11">
        <v>0</v>
      </c>
      <c r="S89" s="11">
        <f>MAX(0,MIN(Параметры!$C$26-M89,T88))</f>
        <v>0</v>
      </c>
      <c r="T89" s="11">
        <f t="shared" si="23"/>
        <v>0</v>
      </c>
      <c r="U89" s="11">
        <f t="shared" si="24"/>
        <v>4098319.9429945862</v>
      </c>
      <c r="V89" s="11">
        <f t="shared" si="17"/>
        <v>177294649.09031212</v>
      </c>
    </row>
    <row r="90" spans="1:22" x14ac:dyDescent="0.25">
      <c r="A90" s="13">
        <v>89</v>
      </c>
      <c r="B90" s="13" t="s">
        <v>150</v>
      </c>
      <c r="C90" s="14" t="s">
        <v>68</v>
      </c>
      <c r="D90" s="15">
        <f>Параметры!$C$4*Параметры!$C$7*(1+Параметры!$C$8)^INT((A90-Параметры!$C$11-1)/12)</f>
        <v>10069900.66090679</v>
      </c>
      <c r="E90" s="15">
        <f>D90/(1+Параметры!$C$13)</f>
        <v>8254016.9351695003</v>
      </c>
      <c r="F90" s="15">
        <f t="shared" si="18"/>
        <v>1815883.7257372895</v>
      </c>
      <c r="G90" s="15">
        <f>IF(AND(A90&gt;Параметры!$C$11,A90&lt;=Параметры!$C$11+3),Параметры!$C$28,0)</f>
        <v>0</v>
      </c>
      <c r="H90" s="15">
        <f t="shared" si="19"/>
        <v>1815883.7257372895</v>
      </c>
      <c r="I90" s="15">
        <f>E90*Параметры!$C$16</f>
        <v>825401.69351695012</v>
      </c>
      <c r="J90" s="15">
        <f>Параметры!$C$27</f>
        <v>683060.10928961751</v>
      </c>
      <c r="K90" s="15">
        <f>MAX(0,Параметры!$C$20-Параметры!$C$27*MAX(0,A90-Параметры!$C$11-1))*Параметры!$C$15/12</f>
        <v>205373.40619307829</v>
      </c>
      <c r="L90" s="15">
        <f t="shared" si="20"/>
        <v>6540181.7261698544</v>
      </c>
      <c r="M90" s="15">
        <f>T89*Параметры!$C$10/12</f>
        <v>0</v>
      </c>
      <c r="N90" s="15">
        <f t="shared" si="21"/>
        <v>6540181.7261698544</v>
      </c>
      <c r="O90" s="15">
        <f>MAX(0,N90*Параметры!$C$14)</f>
        <v>1308036.345233971</v>
      </c>
      <c r="P90" s="15">
        <f t="shared" si="22"/>
        <v>5232145.3809358831</v>
      </c>
      <c r="Q90" s="15">
        <v>0</v>
      </c>
      <c r="R90" s="15">
        <v>0</v>
      </c>
      <c r="S90" s="15">
        <f>MAX(0,MIN(Параметры!$C$26-M90,T89))</f>
        <v>0</v>
      </c>
      <c r="T90" s="15">
        <f t="shared" si="23"/>
        <v>0</v>
      </c>
      <c r="U90" s="15">
        <f t="shared" si="24"/>
        <v>4099321.7644882109</v>
      </c>
      <c r="V90" s="15">
        <f t="shared" si="17"/>
        <v>181393970.85480034</v>
      </c>
    </row>
    <row r="91" spans="1:22" x14ac:dyDescent="0.25">
      <c r="A91" s="16">
        <v>90</v>
      </c>
      <c r="B91" s="16" t="s">
        <v>151</v>
      </c>
      <c r="C91" s="17" t="s">
        <v>68</v>
      </c>
      <c r="D91" s="11">
        <f>Параметры!$C$4*Параметры!$C$7*(1+Параметры!$C$8)^INT((A91-Параметры!$C$11-1)/12)</f>
        <v>10069900.66090679</v>
      </c>
      <c r="E91" s="11">
        <f>D91/(1+Параметры!$C$13)</f>
        <v>8254016.9351695003</v>
      </c>
      <c r="F91" s="11">
        <f t="shared" si="18"/>
        <v>1815883.7257372895</v>
      </c>
      <c r="G91" s="11">
        <f>IF(AND(A91&gt;Параметры!$C$11,A91&lt;=Параметры!$C$11+3),Параметры!$C$28,0)</f>
        <v>0</v>
      </c>
      <c r="H91" s="11">
        <f t="shared" si="19"/>
        <v>1815883.7257372895</v>
      </c>
      <c r="I91" s="11">
        <f>E91*Параметры!$C$16</f>
        <v>825401.69351695012</v>
      </c>
      <c r="J91" s="11">
        <f>Параметры!$C$27</f>
        <v>683060.10928961751</v>
      </c>
      <c r="K91" s="11">
        <f>MAX(0,Параметры!$C$20-Параметры!$C$27*MAX(0,A91-Параметры!$C$11-1))*Параметры!$C$15/12</f>
        <v>204121.12932604735</v>
      </c>
      <c r="L91" s="11">
        <f t="shared" si="20"/>
        <v>6541434.0030368855</v>
      </c>
      <c r="M91" s="11">
        <f>T90*Параметры!$C$10/12</f>
        <v>0</v>
      </c>
      <c r="N91" s="11">
        <f t="shared" si="21"/>
        <v>6541434.0030368855</v>
      </c>
      <c r="O91" s="11">
        <f>MAX(0,N91*Параметры!$C$14)</f>
        <v>1308286.8006073772</v>
      </c>
      <c r="P91" s="11">
        <f t="shared" si="22"/>
        <v>5233147.2024295088</v>
      </c>
      <c r="Q91" s="11">
        <v>0</v>
      </c>
      <c r="R91" s="11">
        <v>0</v>
      </c>
      <c r="S91" s="11">
        <f>MAX(0,MIN(Параметры!$C$26-M91,T90))</f>
        <v>0</v>
      </c>
      <c r="T91" s="11">
        <f t="shared" si="23"/>
        <v>0</v>
      </c>
      <c r="U91" s="11">
        <f t="shared" si="24"/>
        <v>4100323.5859818365</v>
      </c>
      <c r="V91" s="11">
        <f t="shared" si="17"/>
        <v>185494294.44078219</v>
      </c>
    </row>
    <row r="92" spans="1:22" x14ac:dyDescent="0.25">
      <c r="A92" s="13">
        <v>91</v>
      </c>
      <c r="B92" s="13" t="s">
        <v>152</v>
      </c>
      <c r="C92" s="14" t="s">
        <v>68</v>
      </c>
      <c r="D92" s="15">
        <f>Параметры!$C$4*Параметры!$C$7*(1+Параметры!$C$8)^INT((A92-Параметры!$C$11-1)/12)</f>
        <v>10069900.66090679</v>
      </c>
      <c r="E92" s="15">
        <f>D92/(1+Параметры!$C$13)</f>
        <v>8254016.9351695003</v>
      </c>
      <c r="F92" s="15">
        <f t="shared" si="18"/>
        <v>1815883.7257372895</v>
      </c>
      <c r="G92" s="15">
        <f>IF(AND(A92&gt;Параметры!$C$11,A92&lt;=Параметры!$C$11+3),Параметры!$C$28,0)</f>
        <v>0</v>
      </c>
      <c r="H92" s="15">
        <f t="shared" si="19"/>
        <v>1815883.7257372895</v>
      </c>
      <c r="I92" s="15">
        <f>E92*Параметры!$C$16</f>
        <v>825401.69351695012</v>
      </c>
      <c r="J92" s="15">
        <f>Параметры!$C$27</f>
        <v>683060.10928961751</v>
      </c>
      <c r="K92" s="15">
        <f>MAX(0,Параметры!$C$20-Параметры!$C$27*MAX(0,A92-Параметры!$C$11-1))*Параметры!$C$15/12</f>
        <v>202868.85245901637</v>
      </c>
      <c r="L92" s="15">
        <f t="shared" si="20"/>
        <v>6542686.2799039166</v>
      </c>
      <c r="M92" s="15">
        <f>T91*Параметры!$C$10/12</f>
        <v>0</v>
      </c>
      <c r="N92" s="15">
        <f t="shared" si="21"/>
        <v>6542686.2799039166</v>
      </c>
      <c r="O92" s="15">
        <f>MAX(0,N92*Параметры!$C$14)</f>
        <v>1308537.2559807834</v>
      </c>
      <c r="P92" s="15">
        <f t="shared" si="22"/>
        <v>5234149.0239231335</v>
      </c>
      <c r="Q92" s="15">
        <v>0</v>
      </c>
      <c r="R92" s="15">
        <v>0</v>
      </c>
      <c r="S92" s="15">
        <f>MAX(0,MIN(Параметры!$C$26-M92,T91))</f>
        <v>0</v>
      </c>
      <c r="T92" s="15">
        <f t="shared" si="23"/>
        <v>0</v>
      </c>
      <c r="U92" s="15">
        <f t="shared" si="24"/>
        <v>4101325.4074754613</v>
      </c>
      <c r="V92" s="15">
        <f t="shared" si="17"/>
        <v>189595619.84825766</v>
      </c>
    </row>
    <row r="93" spans="1:22" x14ac:dyDescent="0.25">
      <c r="A93" s="16">
        <v>92</v>
      </c>
      <c r="B93" s="16" t="s">
        <v>153</v>
      </c>
      <c r="C93" s="17" t="s">
        <v>68</v>
      </c>
      <c r="D93" s="11">
        <f>Параметры!$C$4*Параметры!$C$7*(1+Параметры!$C$8)^INT((A93-Параметры!$C$11-1)/12)</f>
        <v>10069900.66090679</v>
      </c>
      <c r="E93" s="11">
        <f>D93/(1+Параметры!$C$13)</f>
        <v>8254016.9351695003</v>
      </c>
      <c r="F93" s="11">
        <f t="shared" si="18"/>
        <v>1815883.7257372895</v>
      </c>
      <c r="G93" s="11">
        <f>IF(AND(A93&gt;Параметры!$C$11,A93&lt;=Параметры!$C$11+3),Параметры!$C$28,0)</f>
        <v>0</v>
      </c>
      <c r="H93" s="11">
        <f t="shared" si="19"/>
        <v>1815883.7257372895</v>
      </c>
      <c r="I93" s="11">
        <f>E93*Параметры!$C$16</f>
        <v>825401.69351695012</v>
      </c>
      <c r="J93" s="11">
        <f>Параметры!$C$27</f>
        <v>683060.10928961751</v>
      </c>
      <c r="K93" s="11">
        <f>MAX(0,Параметры!$C$20-Параметры!$C$27*MAX(0,A93-Параметры!$C$11-1))*Параметры!$C$15/12</f>
        <v>201616.5755919854</v>
      </c>
      <c r="L93" s="11">
        <f t="shared" si="20"/>
        <v>6543938.5567709478</v>
      </c>
      <c r="M93" s="11">
        <f>T92*Параметры!$C$10/12</f>
        <v>0</v>
      </c>
      <c r="N93" s="11">
        <f t="shared" si="21"/>
        <v>6543938.5567709478</v>
      </c>
      <c r="O93" s="11">
        <f>MAX(0,N93*Параметры!$C$14)</f>
        <v>1308787.7113541896</v>
      </c>
      <c r="P93" s="11">
        <f t="shared" si="22"/>
        <v>5235150.8454167582</v>
      </c>
      <c r="Q93" s="11">
        <v>0</v>
      </c>
      <c r="R93" s="11">
        <v>0</v>
      </c>
      <c r="S93" s="11">
        <f>MAX(0,MIN(Параметры!$C$26-M93,T92))</f>
        <v>0</v>
      </c>
      <c r="T93" s="11">
        <f t="shared" si="23"/>
        <v>0</v>
      </c>
      <c r="U93" s="11">
        <f t="shared" si="24"/>
        <v>4102327.228969086</v>
      </c>
      <c r="V93" s="11">
        <f t="shared" si="17"/>
        <v>193697947.07722676</v>
      </c>
    </row>
    <row r="94" spans="1:22" x14ac:dyDescent="0.25">
      <c r="A94" s="13">
        <v>93</v>
      </c>
      <c r="B94" s="13" t="s">
        <v>154</v>
      </c>
      <c r="C94" s="14" t="s">
        <v>68</v>
      </c>
      <c r="D94" s="15">
        <f>Параметры!$C$4*Параметры!$C$7*(1+Параметры!$C$8)^INT((A94-Параметры!$C$11-1)/12)</f>
        <v>10069900.66090679</v>
      </c>
      <c r="E94" s="15">
        <f>D94/(1+Параметры!$C$13)</f>
        <v>8254016.9351695003</v>
      </c>
      <c r="F94" s="15">
        <f t="shared" si="18"/>
        <v>1815883.7257372895</v>
      </c>
      <c r="G94" s="15">
        <f>IF(AND(A94&gt;Параметры!$C$11,A94&lt;=Параметры!$C$11+3),Параметры!$C$28,0)</f>
        <v>0</v>
      </c>
      <c r="H94" s="15">
        <f t="shared" si="19"/>
        <v>1815883.7257372895</v>
      </c>
      <c r="I94" s="15">
        <f>E94*Параметры!$C$16</f>
        <v>825401.69351695012</v>
      </c>
      <c r="J94" s="15">
        <f>Параметры!$C$27</f>
        <v>683060.10928961751</v>
      </c>
      <c r="K94" s="15">
        <f>MAX(0,Параметры!$C$20-Параметры!$C$27*MAX(0,A94-Параметры!$C$11-1))*Параметры!$C$15/12</f>
        <v>200364.29872495445</v>
      </c>
      <c r="L94" s="15">
        <f t="shared" si="20"/>
        <v>6545190.8336379789</v>
      </c>
      <c r="M94" s="15">
        <f>T93*Параметры!$C$10/12</f>
        <v>0</v>
      </c>
      <c r="N94" s="15">
        <f t="shared" si="21"/>
        <v>6545190.8336379789</v>
      </c>
      <c r="O94" s="15">
        <f>MAX(0,N94*Параметры!$C$14)</f>
        <v>1309038.166727596</v>
      </c>
      <c r="P94" s="15">
        <f t="shared" si="22"/>
        <v>5236152.6669103829</v>
      </c>
      <c r="Q94" s="15">
        <v>0</v>
      </c>
      <c r="R94" s="15">
        <v>0</v>
      </c>
      <c r="S94" s="15">
        <f>MAX(0,MIN(Параметры!$C$26-M94,T93))</f>
        <v>0</v>
      </c>
      <c r="T94" s="15">
        <f t="shared" si="23"/>
        <v>0</v>
      </c>
      <c r="U94" s="15">
        <f t="shared" si="24"/>
        <v>4103329.0504627107</v>
      </c>
      <c r="V94" s="15">
        <f t="shared" si="17"/>
        <v>197801276.12768948</v>
      </c>
    </row>
    <row r="95" spans="1:22" x14ac:dyDescent="0.25">
      <c r="A95" s="16">
        <v>94</v>
      </c>
      <c r="B95" s="16" t="s">
        <v>155</v>
      </c>
      <c r="C95" s="17" t="s">
        <v>68</v>
      </c>
      <c r="D95" s="11">
        <f>Параметры!$C$4*Параметры!$C$7*(1+Параметры!$C$8)^INT((A95-Параметры!$C$11-1)/12)</f>
        <v>10069900.66090679</v>
      </c>
      <c r="E95" s="11">
        <f>D95/(1+Параметры!$C$13)</f>
        <v>8254016.9351695003</v>
      </c>
      <c r="F95" s="11">
        <f t="shared" si="18"/>
        <v>1815883.7257372895</v>
      </c>
      <c r="G95" s="11">
        <f>IF(AND(A95&gt;Параметры!$C$11,A95&lt;=Параметры!$C$11+3),Параметры!$C$28,0)</f>
        <v>0</v>
      </c>
      <c r="H95" s="11">
        <f t="shared" si="19"/>
        <v>1815883.7257372895</v>
      </c>
      <c r="I95" s="11">
        <f>E95*Параметры!$C$16</f>
        <v>825401.69351695012</v>
      </c>
      <c r="J95" s="11">
        <f>Параметры!$C$27</f>
        <v>683060.10928961751</v>
      </c>
      <c r="K95" s="11">
        <f>MAX(0,Параметры!$C$20-Параметры!$C$27*MAX(0,A95-Параметры!$C$11-1))*Параметры!$C$15/12</f>
        <v>199112.02185792348</v>
      </c>
      <c r="L95" s="11">
        <f t="shared" si="20"/>
        <v>6546443.1105050091</v>
      </c>
      <c r="M95" s="11">
        <f>T94*Параметры!$C$10/12</f>
        <v>0</v>
      </c>
      <c r="N95" s="11">
        <f t="shared" si="21"/>
        <v>6546443.1105050091</v>
      </c>
      <c r="O95" s="11">
        <f>MAX(0,N95*Параметры!$C$14)</f>
        <v>1309288.6221010019</v>
      </c>
      <c r="P95" s="11">
        <f t="shared" si="22"/>
        <v>5237154.4884040076</v>
      </c>
      <c r="Q95" s="11">
        <v>0</v>
      </c>
      <c r="R95" s="11">
        <v>0</v>
      </c>
      <c r="S95" s="11">
        <f>MAX(0,MIN(Параметры!$C$26-M95,T94))</f>
        <v>0</v>
      </c>
      <c r="T95" s="11">
        <f t="shared" si="23"/>
        <v>0</v>
      </c>
      <c r="U95" s="11">
        <f t="shared" si="24"/>
        <v>4104330.8719563354</v>
      </c>
      <c r="V95" s="11">
        <f t="shared" si="17"/>
        <v>201905606.99964583</v>
      </c>
    </row>
    <row r="96" spans="1:22" x14ac:dyDescent="0.25">
      <c r="A96" s="13">
        <v>95</v>
      </c>
      <c r="B96" s="13" t="s">
        <v>156</v>
      </c>
      <c r="C96" s="14" t="s">
        <v>68</v>
      </c>
      <c r="D96" s="15">
        <f>Параметры!$C$4*Параметры!$C$7*(1+Параметры!$C$8)^INT((A96-Параметры!$C$11-1)/12)</f>
        <v>10069900.66090679</v>
      </c>
      <c r="E96" s="15">
        <f>D96/(1+Параметры!$C$13)</f>
        <v>8254016.9351695003</v>
      </c>
      <c r="F96" s="15">
        <f t="shared" si="18"/>
        <v>1815883.7257372895</v>
      </c>
      <c r="G96" s="15">
        <f>IF(AND(A96&gt;Параметры!$C$11,A96&lt;=Параметры!$C$11+3),Параметры!$C$28,0)</f>
        <v>0</v>
      </c>
      <c r="H96" s="15">
        <f t="shared" si="19"/>
        <v>1815883.7257372895</v>
      </c>
      <c r="I96" s="15">
        <f>E96*Параметры!$C$16</f>
        <v>825401.69351695012</v>
      </c>
      <c r="J96" s="15">
        <f>Параметры!$C$27</f>
        <v>683060.10928961751</v>
      </c>
      <c r="K96" s="15">
        <f>MAX(0,Параметры!$C$20-Параметры!$C$27*MAX(0,A96-Параметры!$C$11-1))*Параметры!$C$15/12</f>
        <v>197859.7449908925</v>
      </c>
      <c r="L96" s="15">
        <f t="shared" si="20"/>
        <v>6547695.3873720402</v>
      </c>
      <c r="M96" s="15">
        <f>T95*Параметры!$C$10/12</f>
        <v>0</v>
      </c>
      <c r="N96" s="15">
        <f t="shared" si="21"/>
        <v>6547695.3873720402</v>
      </c>
      <c r="O96" s="15">
        <f>MAX(0,N96*Параметры!$C$14)</f>
        <v>1309539.0774744081</v>
      </c>
      <c r="P96" s="15">
        <f t="shared" si="22"/>
        <v>5238156.3098976323</v>
      </c>
      <c r="Q96" s="15">
        <v>0</v>
      </c>
      <c r="R96" s="15">
        <v>0</v>
      </c>
      <c r="S96" s="15">
        <f>MAX(0,MIN(Параметры!$C$26-M96,T95))</f>
        <v>0</v>
      </c>
      <c r="T96" s="15">
        <f t="shared" si="23"/>
        <v>0</v>
      </c>
      <c r="U96" s="15">
        <f t="shared" si="24"/>
        <v>4105332.6934499601</v>
      </c>
      <c r="V96" s="15">
        <f t="shared" si="17"/>
        <v>206010939.6930958</v>
      </c>
    </row>
    <row r="97" spans="1:22" x14ac:dyDescent="0.25">
      <c r="A97" s="16">
        <v>96</v>
      </c>
      <c r="B97" s="16" t="s">
        <v>157</v>
      </c>
      <c r="C97" s="17" t="s">
        <v>68</v>
      </c>
      <c r="D97" s="11">
        <f>Параметры!$C$4*Параметры!$C$7*(1+Параметры!$C$8)^INT((A97-Параметры!$C$11-1)/12)</f>
        <v>10069900.66090679</v>
      </c>
      <c r="E97" s="11">
        <f>D97/(1+Параметры!$C$13)</f>
        <v>8254016.9351695003</v>
      </c>
      <c r="F97" s="11">
        <f t="shared" si="18"/>
        <v>1815883.7257372895</v>
      </c>
      <c r="G97" s="11">
        <f>IF(AND(A97&gt;Параметры!$C$11,A97&lt;=Параметры!$C$11+3),Параметры!$C$28,0)</f>
        <v>0</v>
      </c>
      <c r="H97" s="11">
        <f t="shared" si="19"/>
        <v>1815883.7257372895</v>
      </c>
      <c r="I97" s="11">
        <f>E97*Параметры!$C$16</f>
        <v>825401.69351695012</v>
      </c>
      <c r="J97" s="11">
        <f>Параметры!$C$27</f>
        <v>683060.10928961751</v>
      </c>
      <c r="K97" s="11">
        <f>MAX(0,Параметры!$C$20-Параметры!$C$27*MAX(0,A97-Параметры!$C$11-1))*Параметры!$C$15/12</f>
        <v>196607.46812386156</v>
      </c>
      <c r="L97" s="11">
        <f t="shared" si="20"/>
        <v>6548947.6642390713</v>
      </c>
      <c r="M97" s="11">
        <f>T96*Параметры!$C$10/12</f>
        <v>0</v>
      </c>
      <c r="N97" s="11">
        <f t="shared" si="21"/>
        <v>6548947.6642390713</v>
      </c>
      <c r="O97" s="11">
        <f>MAX(0,N97*Параметры!$C$14)</f>
        <v>1309789.5328478143</v>
      </c>
      <c r="P97" s="11">
        <f t="shared" si="22"/>
        <v>5239158.131391257</v>
      </c>
      <c r="Q97" s="11">
        <v>0</v>
      </c>
      <c r="R97" s="11">
        <v>0</v>
      </c>
      <c r="S97" s="11">
        <f>MAX(0,MIN(Параметры!$C$26-M97,T96))</f>
        <v>0</v>
      </c>
      <c r="T97" s="11">
        <f t="shared" si="23"/>
        <v>0</v>
      </c>
      <c r="U97" s="11">
        <f t="shared" si="24"/>
        <v>4106334.5149435848</v>
      </c>
      <c r="V97" s="11">
        <f t="shared" si="17"/>
        <v>210117274.2080394</v>
      </c>
    </row>
    <row r="98" spans="1:22" x14ac:dyDescent="0.25">
      <c r="A98" s="13">
        <v>97</v>
      </c>
      <c r="B98" s="13" t="s">
        <v>158</v>
      </c>
      <c r="C98" s="14" t="s">
        <v>68</v>
      </c>
      <c r="D98" s="15">
        <f>Параметры!$C$4*Параметры!$C$7*(1+Параметры!$C$8)^INT((A98-Параметры!$C$11-1)/12)</f>
        <v>10774793.707170267</v>
      </c>
      <c r="E98" s="15">
        <f>D98/(1+Параметры!$C$13)</f>
        <v>8831798.120631367</v>
      </c>
      <c r="F98" s="15">
        <f t="shared" si="18"/>
        <v>1942995.5865388997</v>
      </c>
      <c r="G98" s="15">
        <f>IF(AND(A98&gt;Параметры!$C$11,A98&lt;=Параметры!$C$11+3),Параметры!$C$28,0)</f>
        <v>0</v>
      </c>
      <c r="H98" s="15">
        <f t="shared" si="19"/>
        <v>1942995.5865388997</v>
      </c>
      <c r="I98" s="15">
        <f>E98*Параметры!$C$16</f>
        <v>883179.81206313672</v>
      </c>
      <c r="J98" s="15">
        <f>Параметры!$C$27</f>
        <v>683060.10928961751</v>
      </c>
      <c r="K98" s="15">
        <f>MAX(0,Параметры!$C$20-Параметры!$C$27*MAX(0,A98-Параметры!$C$11-1))*Параметры!$C$15/12</f>
        <v>195355.19125683059</v>
      </c>
      <c r="L98" s="15">
        <f t="shared" si="20"/>
        <v>7070203.0080217822</v>
      </c>
      <c r="M98" s="15">
        <f>T97*Параметры!$C$10/12</f>
        <v>0</v>
      </c>
      <c r="N98" s="15">
        <f t="shared" si="21"/>
        <v>7070203.0080217822</v>
      </c>
      <c r="O98" s="15">
        <f>MAX(0,N98*Параметры!$C$14)</f>
        <v>1414040.6016043564</v>
      </c>
      <c r="P98" s="15">
        <f t="shared" si="22"/>
        <v>5656162.4064174257</v>
      </c>
      <c r="Q98" s="15">
        <v>0</v>
      </c>
      <c r="R98" s="15">
        <v>0</v>
      </c>
      <c r="S98" s="15">
        <f>MAX(0,MIN(Параметры!$C$26-M98,T97))</f>
        <v>0</v>
      </c>
      <c r="T98" s="15">
        <f t="shared" si="23"/>
        <v>0</v>
      </c>
      <c r="U98" s="15">
        <f t="shared" si="24"/>
        <v>4396226.9291681433</v>
      </c>
      <c r="V98" s="15">
        <f t="shared" si="17"/>
        <v>214513501.13720754</v>
      </c>
    </row>
    <row r="99" spans="1:22" x14ac:dyDescent="0.25">
      <c r="A99" s="16">
        <v>98</v>
      </c>
      <c r="B99" s="16" t="s">
        <v>159</v>
      </c>
      <c r="C99" s="17" t="s">
        <v>68</v>
      </c>
      <c r="D99" s="11">
        <f>Параметры!$C$4*Параметры!$C$7*(1+Параметры!$C$8)^INT((A99-Параметры!$C$11-1)/12)</f>
        <v>10774793.707170267</v>
      </c>
      <c r="E99" s="11">
        <f>D99/(1+Параметры!$C$13)</f>
        <v>8831798.120631367</v>
      </c>
      <c r="F99" s="11">
        <f t="shared" si="18"/>
        <v>1942995.5865388997</v>
      </c>
      <c r="G99" s="11">
        <f>IF(AND(A99&gt;Параметры!$C$11,A99&lt;=Параметры!$C$11+3),Параметры!$C$28,0)</f>
        <v>0</v>
      </c>
      <c r="H99" s="11">
        <f t="shared" si="19"/>
        <v>1942995.5865388997</v>
      </c>
      <c r="I99" s="11">
        <f>E99*Параметры!$C$16</f>
        <v>883179.81206313672</v>
      </c>
      <c r="J99" s="11">
        <f>Параметры!$C$27</f>
        <v>683060.10928961751</v>
      </c>
      <c r="K99" s="11">
        <f>MAX(0,Параметры!$C$20-Параметры!$C$27*MAX(0,A99-Параметры!$C$11-1))*Параметры!$C$15/12</f>
        <v>194102.91438979961</v>
      </c>
      <c r="L99" s="11">
        <f t="shared" si="20"/>
        <v>7071455.2848888133</v>
      </c>
      <c r="M99" s="11">
        <f>T98*Параметры!$C$10/12</f>
        <v>0</v>
      </c>
      <c r="N99" s="11">
        <f t="shared" si="21"/>
        <v>7071455.2848888133</v>
      </c>
      <c r="O99" s="11">
        <f>MAX(0,N99*Параметры!$C$14)</f>
        <v>1414291.0569777628</v>
      </c>
      <c r="P99" s="11">
        <f t="shared" si="22"/>
        <v>5657164.2279110504</v>
      </c>
      <c r="Q99" s="11">
        <v>0</v>
      </c>
      <c r="R99" s="11">
        <v>0</v>
      </c>
      <c r="S99" s="11">
        <f>MAX(0,MIN(Параметры!$C$26-M99,T98))</f>
        <v>0</v>
      </c>
      <c r="T99" s="11">
        <f t="shared" si="23"/>
        <v>0</v>
      </c>
      <c r="U99" s="11">
        <f t="shared" si="24"/>
        <v>4397228.750661768</v>
      </c>
      <c r="V99" s="11">
        <f t="shared" ref="V99:V130" si="25">V98+U99</f>
        <v>218910729.8878693</v>
      </c>
    </row>
    <row r="100" spans="1:22" x14ac:dyDescent="0.25">
      <c r="A100" s="13">
        <v>99</v>
      </c>
      <c r="B100" s="13" t="s">
        <v>160</v>
      </c>
      <c r="C100" s="14" t="s">
        <v>68</v>
      </c>
      <c r="D100" s="15">
        <f>Параметры!$C$4*Параметры!$C$7*(1+Параметры!$C$8)^INT((A100-Параметры!$C$11-1)/12)</f>
        <v>10774793.707170267</v>
      </c>
      <c r="E100" s="15">
        <f>D100/(1+Параметры!$C$13)</f>
        <v>8831798.120631367</v>
      </c>
      <c r="F100" s="15">
        <f t="shared" si="18"/>
        <v>1942995.5865388997</v>
      </c>
      <c r="G100" s="15">
        <f>IF(AND(A100&gt;Параметры!$C$11,A100&lt;=Параметры!$C$11+3),Параметры!$C$28,0)</f>
        <v>0</v>
      </c>
      <c r="H100" s="15">
        <f t="shared" si="19"/>
        <v>1942995.5865388997</v>
      </c>
      <c r="I100" s="15">
        <f>E100*Параметры!$C$16</f>
        <v>883179.81206313672</v>
      </c>
      <c r="J100" s="15">
        <f>Параметры!$C$27</f>
        <v>683060.10928961751</v>
      </c>
      <c r="K100" s="15">
        <f>MAX(0,Параметры!$C$20-Параметры!$C$27*MAX(0,A100-Параметры!$C$11-1))*Параметры!$C$15/12</f>
        <v>192850.63752276867</v>
      </c>
      <c r="L100" s="15">
        <f t="shared" si="20"/>
        <v>7072707.5617558444</v>
      </c>
      <c r="M100" s="15">
        <f>T99*Параметры!$C$10/12</f>
        <v>0</v>
      </c>
      <c r="N100" s="15">
        <f t="shared" si="21"/>
        <v>7072707.5617558444</v>
      </c>
      <c r="O100" s="15">
        <f>MAX(0,N100*Параметры!$C$14)</f>
        <v>1414541.512351169</v>
      </c>
      <c r="P100" s="15">
        <f t="shared" si="22"/>
        <v>5658166.0494046751</v>
      </c>
      <c r="Q100" s="15">
        <v>0</v>
      </c>
      <c r="R100" s="15">
        <v>0</v>
      </c>
      <c r="S100" s="15">
        <f>MAX(0,MIN(Параметры!$C$26-M100,T99))</f>
        <v>0</v>
      </c>
      <c r="T100" s="15">
        <f t="shared" si="23"/>
        <v>0</v>
      </c>
      <c r="U100" s="15">
        <f t="shared" si="24"/>
        <v>4398230.5721553927</v>
      </c>
      <c r="V100" s="15">
        <f t="shared" si="25"/>
        <v>223308960.46002468</v>
      </c>
    </row>
    <row r="101" spans="1:22" x14ac:dyDescent="0.25">
      <c r="A101" s="16">
        <v>100</v>
      </c>
      <c r="B101" s="16" t="s">
        <v>161</v>
      </c>
      <c r="C101" s="17" t="s">
        <v>68</v>
      </c>
      <c r="D101" s="11">
        <f>Параметры!$C$4*Параметры!$C$7*(1+Параметры!$C$8)^INT((A101-Параметры!$C$11-1)/12)</f>
        <v>10774793.707170267</v>
      </c>
      <c r="E101" s="11">
        <f>D101/(1+Параметры!$C$13)</f>
        <v>8831798.120631367</v>
      </c>
      <c r="F101" s="11">
        <f t="shared" si="18"/>
        <v>1942995.5865388997</v>
      </c>
      <c r="G101" s="11">
        <f>IF(AND(A101&gt;Параметры!$C$11,A101&lt;=Параметры!$C$11+3),Параметры!$C$28,0)</f>
        <v>0</v>
      </c>
      <c r="H101" s="11">
        <f t="shared" si="19"/>
        <v>1942995.5865388997</v>
      </c>
      <c r="I101" s="11">
        <f>E101*Параметры!$C$16</f>
        <v>883179.81206313672</v>
      </c>
      <c r="J101" s="11">
        <f>Параметры!$C$27</f>
        <v>683060.10928961751</v>
      </c>
      <c r="K101" s="11">
        <f>MAX(0,Параметры!$C$20-Параметры!$C$27*MAX(0,A101-Параметры!$C$11-1))*Параметры!$C$15/12</f>
        <v>191598.36065573769</v>
      </c>
      <c r="L101" s="11">
        <f t="shared" si="20"/>
        <v>7073959.8386228746</v>
      </c>
      <c r="M101" s="11">
        <f>T100*Параметры!$C$10/12</f>
        <v>0</v>
      </c>
      <c r="N101" s="11">
        <f t="shared" si="21"/>
        <v>7073959.8386228746</v>
      </c>
      <c r="O101" s="11">
        <f>MAX(0,N101*Параметры!$C$14)</f>
        <v>1414791.967724575</v>
      </c>
      <c r="P101" s="11">
        <f t="shared" si="22"/>
        <v>5659167.8708982999</v>
      </c>
      <c r="Q101" s="11">
        <v>0</v>
      </c>
      <c r="R101" s="11">
        <v>0</v>
      </c>
      <c r="S101" s="11">
        <f>MAX(0,MIN(Параметры!$C$26-M101,T100))</f>
        <v>0</v>
      </c>
      <c r="T101" s="11">
        <f t="shared" si="23"/>
        <v>0</v>
      </c>
      <c r="U101" s="11">
        <f t="shared" si="24"/>
        <v>4399232.3936490174</v>
      </c>
      <c r="V101" s="11">
        <f t="shared" si="25"/>
        <v>227708192.8536737</v>
      </c>
    </row>
    <row r="102" spans="1:22" x14ac:dyDescent="0.25">
      <c r="A102" s="13">
        <v>101</v>
      </c>
      <c r="B102" s="13" t="s">
        <v>162</v>
      </c>
      <c r="C102" s="14" t="s">
        <v>68</v>
      </c>
      <c r="D102" s="15">
        <f>Параметры!$C$4*Параметры!$C$7*(1+Параметры!$C$8)^INT((A102-Параметры!$C$11-1)/12)</f>
        <v>10774793.707170267</v>
      </c>
      <c r="E102" s="15">
        <f>D102/(1+Параметры!$C$13)</f>
        <v>8831798.120631367</v>
      </c>
      <c r="F102" s="15">
        <f t="shared" si="18"/>
        <v>1942995.5865388997</v>
      </c>
      <c r="G102" s="15">
        <f>IF(AND(A102&gt;Параметры!$C$11,A102&lt;=Параметры!$C$11+3),Параметры!$C$28,0)</f>
        <v>0</v>
      </c>
      <c r="H102" s="15">
        <f t="shared" si="19"/>
        <v>1942995.5865388997</v>
      </c>
      <c r="I102" s="15">
        <f>E102*Параметры!$C$16</f>
        <v>883179.81206313672</v>
      </c>
      <c r="J102" s="15">
        <f>Параметры!$C$27</f>
        <v>683060.10928961751</v>
      </c>
      <c r="K102" s="15">
        <f>MAX(0,Параметры!$C$20-Параметры!$C$27*MAX(0,A102-Параметры!$C$11-1))*Параметры!$C$15/12</f>
        <v>190346.08378870672</v>
      </c>
      <c r="L102" s="15">
        <f t="shared" si="20"/>
        <v>7075212.1154899057</v>
      </c>
      <c r="M102" s="15">
        <f>T101*Параметры!$C$10/12</f>
        <v>0</v>
      </c>
      <c r="N102" s="15">
        <f t="shared" si="21"/>
        <v>7075212.1154899057</v>
      </c>
      <c r="O102" s="15">
        <f>MAX(0,N102*Параметры!$C$14)</f>
        <v>1415042.4230979811</v>
      </c>
      <c r="P102" s="15">
        <f t="shared" si="22"/>
        <v>5660169.6923919246</v>
      </c>
      <c r="Q102" s="15">
        <v>0</v>
      </c>
      <c r="R102" s="15">
        <v>0</v>
      </c>
      <c r="S102" s="15">
        <f>MAX(0,MIN(Параметры!$C$26-M102,T101))</f>
        <v>0</v>
      </c>
      <c r="T102" s="15">
        <f t="shared" si="23"/>
        <v>0</v>
      </c>
      <c r="U102" s="15">
        <f t="shared" si="24"/>
        <v>4400234.2151426421</v>
      </c>
      <c r="V102" s="15">
        <f t="shared" si="25"/>
        <v>232108427.06881633</v>
      </c>
    </row>
    <row r="103" spans="1:22" x14ac:dyDescent="0.25">
      <c r="A103" s="16">
        <v>102</v>
      </c>
      <c r="B103" s="16" t="s">
        <v>163</v>
      </c>
      <c r="C103" s="17" t="s">
        <v>68</v>
      </c>
      <c r="D103" s="11">
        <f>Параметры!$C$4*Параметры!$C$7*(1+Параметры!$C$8)^INT((A103-Параметры!$C$11-1)/12)</f>
        <v>10774793.707170267</v>
      </c>
      <c r="E103" s="11">
        <f>D103/(1+Параметры!$C$13)</f>
        <v>8831798.120631367</v>
      </c>
      <c r="F103" s="11">
        <f t="shared" si="18"/>
        <v>1942995.5865388997</v>
      </c>
      <c r="G103" s="11">
        <f>IF(AND(A103&gt;Параметры!$C$11,A103&lt;=Параметры!$C$11+3),Параметры!$C$28,0)</f>
        <v>0</v>
      </c>
      <c r="H103" s="11">
        <f t="shared" si="19"/>
        <v>1942995.5865388997</v>
      </c>
      <c r="I103" s="11">
        <f>E103*Параметры!$C$16</f>
        <v>883179.81206313672</v>
      </c>
      <c r="J103" s="11">
        <f>Параметры!$C$27</f>
        <v>683060.10928961751</v>
      </c>
      <c r="K103" s="11">
        <f>MAX(0,Параметры!$C$20-Параметры!$C$27*MAX(0,A103-Параметры!$C$11-1))*Параметры!$C$15/12</f>
        <v>189093.80692167577</v>
      </c>
      <c r="L103" s="11">
        <f t="shared" si="20"/>
        <v>7076464.3923569368</v>
      </c>
      <c r="M103" s="11">
        <f>T102*Параметры!$C$10/12</f>
        <v>0</v>
      </c>
      <c r="N103" s="11">
        <f t="shared" si="21"/>
        <v>7076464.3923569368</v>
      </c>
      <c r="O103" s="11">
        <f>MAX(0,N103*Параметры!$C$14)</f>
        <v>1415292.8784713876</v>
      </c>
      <c r="P103" s="11">
        <f t="shared" si="22"/>
        <v>5661171.5138855493</v>
      </c>
      <c r="Q103" s="11">
        <v>0</v>
      </c>
      <c r="R103" s="11">
        <v>0</v>
      </c>
      <c r="S103" s="11">
        <f>MAX(0,MIN(Параметры!$C$26-M103,T102))</f>
        <v>0</v>
      </c>
      <c r="T103" s="11">
        <f t="shared" si="23"/>
        <v>0</v>
      </c>
      <c r="U103" s="11">
        <f t="shared" si="24"/>
        <v>4401236.0366362669</v>
      </c>
      <c r="V103" s="11">
        <f t="shared" si="25"/>
        <v>236509663.1054526</v>
      </c>
    </row>
    <row r="104" spans="1:22" x14ac:dyDescent="0.25">
      <c r="A104" s="13">
        <v>103</v>
      </c>
      <c r="B104" s="13" t="s">
        <v>164</v>
      </c>
      <c r="C104" s="14" t="s">
        <v>68</v>
      </c>
      <c r="D104" s="15">
        <f>Параметры!$C$4*Параметры!$C$7*(1+Параметры!$C$8)^INT((A104-Параметры!$C$11-1)/12)</f>
        <v>10774793.707170267</v>
      </c>
      <c r="E104" s="15">
        <f>D104/(1+Параметры!$C$13)</f>
        <v>8831798.120631367</v>
      </c>
      <c r="F104" s="15">
        <f t="shared" ref="F104:F135" si="26">D104-E104</f>
        <v>1942995.5865388997</v>
      </c>
      <c r="G104" s="15">
        <f>IF(AND(A104&gt;Параметры!$C$11,A104&lt;=Параметры!$C$11+3),Параметры!$C$28,0)</f>
        <v>0</v>
      </c>
      <c r="H104" s="15">
        <f t="shared" ref="H104:H135" si="27">F104-G104</f>
        <v>1942995.5865388997</v>
      </c>
      <c r="I104" s="15">
        <f>E104*Параметры!$C$16</f>
        <v>883179.81206313672</v>
      </c>
      <c r="J104" s="15">
        <f>Параметры!$C$27</f>
        <v>683060.10928961751</v>
      </c>
      <c r="K104" s="15">
        <f>MAX(0,Параметры!$C$20-Параметры!$C$27*MAX(0,A104-Параметры!$C$11-1))*Параметры!$C$15/12</f>
        <v>187841.5300546448</v>
      </c>
      <c r="L104" s="15">
        <f t="shared" ref="L104:L135" si="28">E104-I104-J104-K104</f>
        <v>7077716.6692239679</v>
      </c>
      <c r="M104" s="15">
        <f>T103*Параметры!$C$10/12</f>
        <v>0</v>
      </c>
      <c r="N104" s="15">
        <f t="shared" ref="N104:N135" si="29">L104-M104</f>
        <v>7077716.6692239679</v>
      </c>
      <c r="O104" s="15">
        <f>MAX(0,N104*Параметры!$C$14)</f>
        <v>1415543.3338447937</v>
      </c>
      <c r="P104" s="15">
        <f t="shared" ref="P104:P135" si="30">N104-O104</f>
        <v>5662173.335379174</v>
      </c>
      <c r="Q104" s="15">
        <v>0</v>
      </c>
      <c r="R104" s="15">
        <v>0</v>
      </c>
      <c r="S104" s="15">
        <f>MAX(0,MIN(Параметры!$C$26-M104,T103))</f>
        <v>0</v>
      </c>
      <c r="T104" s="15">
        <f t="shared" ref="T104:T135" si="31">MAX(0,T103-S104)</f>
        <v>0</v>
      </c>
      <c r="U104" s="15">
        <f t="shared" ref="U104:U121" si="32">P104+J104-S104-H104</f>
        <v>4402237.8581298916</v>
      </c>
      <c r="V104" s="15">
        <f t="shared" si="25"/>
        <v>240911900.96358249</v>
      </c>
    </row>
    <row r="105" spans="1:22" x14ac:dyDescent="0.25">
      <c r="A105" s="16">
        <v>104</v>
      </c>
      <c r="B105" s="16" t="s">
        <v>165</v>
      </c>
      <c r="C105" s="17" t="s">
        <v>68</v>
      </c>
      <c r="D105" s="11">
        <f>Параметры!$C$4*Параметры!$C$7*(1+Параметры!$C$8)^INT((A105-Параметры!$C$11-1)/12)</f>
        <v>10774793.707170267</v>
      </c>
      <c r="E105" s="11">
        <f>D105/(1+Параметры!$C$13)</f>
        <v>8831798.120631367</v>
      </c>
      <c r="F105" s="11">
        <f t="shared" si="26"/>
        <v>1942995.5865388997</v>
      </c>
      <c r="G105" s="11">
        <f>IF(AND(A105&gt;Параметры!$C$11,A105&lt;=Параметры!$C$11+3),Параметры!$C$28,0)</f>
        <v>0</v>
      </c>
      <c r="H105" s="11">
        <f t="shared" si="27"/>
        <v>1942995.5865388997</v>
      </c>
      <c r="I105" s="11">
        <f>E105*Параметры!$C$16</f>
        <v>883179.81206313672</v>
      </c>
      <c r="J105" s="11">
        <f>Параметры!$C$27</f>
        <v>683060.10928961751</v>
      </c>
      <c r="K105" s="11">
        <f>MAX(0,Параметры!$C$20-Параметры!$C$27*MAX(0,A105-Параметры!$C$11-1))*Параметры!$C$15/12</f>
        <v>186589.25318761382</v>
      </c>
      <c r="L105" s="11">
        <f t="shared" si="28"/>
        <v>7078968.9460909991</v>
      </c>
      <c r="M105" s="11">
        <f>T104*Параметры!$C$10/12</f>
        <v>0</v>
      </c>
      <c r="N105" s="11">
        <f t="shared" si="29"/>
        <v>7078968.9460909991</v>
      </c>
      <c r="O105" s="11">
        <f>MAX(0,N105*Параметры!$C$14)</f>
        <v>1415793.7892181999</v>
      </c>
      <c r="P105" s="11">
        <f t="shared" si="30"/>
        <v>5663175.1568727996</v>
      </c>
      <c r="Q105" s="11">
        <v>0</v>
      </c>
      <c r="R105" s="11">
        <v>0</v>
      </c>
      <c r="S105" s="11">
        <f>MAX(0,MIN(Параметры!$C$26-M105,T104))</f>
        <v>0</v>
      </c>
      <c r="T105" s="11">
        <f t="shared" si="31"/>
        <v>0</v>
      </c>
      <c r="U105" s="11">
        <f t="shared" si="32"/>
        <v>4403239.6796235172</v>
      </c>
      <c r="V105" s="11">
        <f t="shared" si="25"/>
        <v>245315140.643206</v>
      </c>
    </row>
    <row r="106" spans="1:22" x14ac:dyDescent="0.25">
      <c r="A106" s="13">
        <v>105</v>
      </c>
      <c r="B106" s="13" t="s">
        <v>166</v>
      </c>
      <c r="C106" s="14" t="s">
        <v>68</v>
      </c>
      <c r="D106" s="15">
        <f>Параметры!$C$4*Параметры!$C$7*(1+Параметры!$C$8)^INT((A106-Параметры!$C$11-1)/12)</f>
        <v>10774793.707170267</v>
      </c>
      <c r="E106" s="15">
        <f>D106/(1+Параметры!$C$13)</f>
        <v>8831798.120631367</v>
      </c>
      <c r="F106" s="15">
        <f t="shared" si="26"/>
        <v>1942995.5865388997</v>
      </c>
      <c r="G106" s="15">
        <f>IF(AND(A106&gt;Параметры!$C$11,A106&lt;=Параметры!$C$11+3),Параметры!$C$28,0)</f>
        <v>0</v>
      </c>
      <c r="H106" s="15">
        <f t="shared" si="27"/>
        <v>1942995.5865388997</v>
      </c>
      <c r="I106" s="15">
        <f>E106*Параметры!$C$16</f>
        <v>883179.81206313672</v>
      </c>
      <c r="J106" s="15">
        <f>Параметры!$C$27</f>
        <v>683060.10928961751</v>
      </c>
      <c r="K106" s="15">
        <f>MAX(0,Параметры!$C$20-Параметры!$C$27*MAX(0,A106-Параметры!$C$11-1))*Параметры!$C$15/12</f>
        <v>185336.97632058288</v>
      </c>
      <c r="L106" s="15">
        <f t="shared" si="28"/>
        <v>7080221.2229580302</v>
      </c>
      <c r="M106" s="15">
        <f>T105*Параметры!$C$10/12</f>
        <v>0</v>
      </c>
      <c r="N106" s="15">
        <f t="shared" si="29"/>
        <v>7080221.2229580302</v>
      </c>
      <c r="O106" s="15">
        <f>MAX(0,N106*Параметры!$C$14)</f>
        <v>1416044.2445916061</v>
      </c>
      <c r="P106" s="15">
        <f t="shared" si="30"/>
        <v>5664176.9783664243</v>
      </c>
      <c r="Q106" s="15">
        <v>0</v>
      </c>
      <c r="R106" s="15">
        <v>0</v>
      </c>
      <c r="S106" s="15">
        <f>MAX(0,MIN(Параметры!$C$26-M106,T105))</f>
        <v>0</v>
      </c>
      <c r="T106" s="15">
        <f t="shared" si="31"/>
        <v>0</v>
      </c>
      <c r="U106" s="15">
        <f t="shared" si="32"/>
        <v>4404241.5011171419</v>
      </c>
      <c r="V106" s="15">
        <f t="shared" si="25"/>
        <v>249719382.14432314</v>
      </c>
    </row>
    <row r="107" spans="1:22" x14ac:dyDescent="0.25">
      <c r="A107" s="16">
        <v>106</v>
      </c>
      <c r="B107" s="16" t="s">
        <v>167</v>
      </c>
      <c r="C107" s="17" t="s">
        <v>68</v>
      </c>
      <c r="D107" s="11">
        <f>Параметры!$C$4*Параметры!$C$7*(1+Параметры!$C$8)^INT((A107-Параметры!$C$11-1)/12)</f>
        <v>10774793.707170267</v>
      </c>
      <c r="E107" s="11">
        <f>D107/(1+Параметры!$C$13)</f>
        <v>8831798.120631367</v>
      </c>
      <c r="F107" s="11">
        <f t="shared" si="26"/>
        <v>1942995.5865388997</v>
      </c>
      <c r="G107" s="11">
        <f>IF(AND(A107&gt;Параметры!$C$11,A107&lt;=Параметры!$C$11+3),Параметры!$C$28,0)</f>
        <v>0</v>
      </c>
      <c r="H107" s="11">
        <f t="shared" si="27"/>
        <v>1942995.5865388997</v>
      </c>
      <c r="I107" s="11">
        <f>E107*Параметры!$C$16</f>
        <v>883179.81206313672</v>
      </c>
      <c r="J107" s="11">
        <f>Параметры!$C$27</f>
        <v>683060.10928961751</v>
      </c>
      <c r="K107" s="11">
        <f>MAX(0,Параметры!$C$20-Параметры!$C$27*MAX(0,A107-Параметры!$C$11-1))*Параметры!$C$15/12</f>
        <v>184084.69945355188</v>
      </c>
      <c r="L107" s="11">
        <f t="shared" si="28"/>
        <v>7081473.4998250604</v>
      </c>
      <c r="M107" s="11">
        <f>T106*Параметры!$C$10/12</f>
        <v>0</v>
      </c>
      <c r="N107" s="11">
        <f t="shared" si="29"/>
        <v>7081473.4998250604</v>
      </c>
      <c r="O107" s="11">
        <f>MAX(0,N107*Параметры!$C$14)</f>
        <v>1416294.6999650123</v>
      </c>
      <c r="P107" s="11">
        <f t="shared" si="30"/>
        <v>5665178.7998600481</v>
      </c>
      <c r="Q107" s="11">
        <v>0</v>
      </c>
      <c r="R107" s="11">
        <v>0</v>
      </c>
      <c r="S107" s="11">
        <f>MAX(0,MIN(Параметры!$C$26-M107,T106))</f>
        <v>0</v>
      </c>
      <c r="T107" s="11">
        <f t="shared" si="31"/>
        <v>0</v>
      </c>
      <c r="U107" s="11">
        <f t="shared" si="32"/>
        <v>4405243.3226107657</v>
      </c>
      <c r="V107" s="11">
        <f t="shared" si="25"/>
        <v>254124625.46693391</v>
      </c>
    </row>
    <row r="108" spans="1:22" x14ac:dyDescent="0.25">
      <c r="A108" s="13">
        <v>107</v>
      </c>
      <c r="B108" s="13" t="s">
        <v>168</v>
      </c>
      <c r="C108" s="14" t="s">
        <v>68</v>
      </c>
      <c r="D108" s="15">
        <f>Параметры!$C$4*Параметры!$C$7*(1+Параметры!$C$8)^INT((A108-Параметры!$C$11-1)/12)</f>
        <v>10774793.707170267</v>
      </c>
      <c r="E108" s="15">
        <f>D108/(1+Параметры!$C$13)</f>
        <v>8831798.120631367</v>
      </c>
      <c r="F108" s="15">
        <f t="shared" si="26"/>
        <v>1942995.5865388997</v>
      </c>
      <c r="G108" s="15">
        <f>IF(AND(A108&gt;Параметры!$C$11,A108&lt;=Параметры!$C$11+3),Параметры!$C$28,0)</f>
        <v>0</v>
      </c>
      <c r="H108" s="15">
        <f t="shared" si="27"/>
        <v>1942995.5865388997</v>
      </c>
      <c r="I108" s="15">
        <f>E108*Параметры!$C$16</f>
        <v>883179.81206313672</v>
      </c>
      <c r="J108" s="15">
        <f>Параметры!$C$27</f>
        <v>683060.10928961751</v>
      </c>
      <c r="K108" s="15">
        <f>MAX(0,Параметры!$C$20-Параметры!$C$27*MAX(0,A108-Параметры!$C$11-1))*Параметры!$C$15/12</f>
        <v>182832.4225865209</v>
      </c>
      <c r="L108" s="15">
        <f t="shared" si="28"/>
        <v>7082725.7766920915</v>
      </c>
      <c r="M108" s="15">
        <f>T107*Параметры!$C$10/12</f>
        <v>0</v>
      </c>
      <c r="N108" s="15">
        <f t="shared" si="29"/>
        <v>7082725.7766920915</v>
      </c>
      <c r="O108" s="15">
        <f>MAX(0,N108*Параметры!$C$14)</f>
        <v>1416545.1553384184</v>
      </c>
      <c r="P108" s="15">
        <f t="shared" si="30"/>
        <v>5666180.6213536728</v>
      </c>
      <c r="Q108" s="15">
        <v>0</v>
      </c>
      <c r="R108" s="15">
        <v>0</v>
      </c>
      <c r="S108" s="15">
        <f>MAX(0,MIN(Параметры!$C$26-M108,T107))</f>
        <v>0</v>
      </c>
      <c r="T108" s="15">
        <f t="shared" si="31"/>
        <v>0</v>
      </c>
      <c r="U108" s="15">
        <f t="shared" si="32"/>
        <v>4406245.1441043904</v>
      </c>
      <c r="V108" s="15">
        <f t="shared" si="25"/>
        <v>258530870.6110383</v>
      </c>
    </row>
    <row r="109" spans="1:22" x14ac:dyDescent="0.25">
      <c r="A109" s="16">
        <v>108</v>
      </c>
      <c r="B109" s="16" t="s">
        <v>169</v>
      </c>
      <c r="C109" s="17" t="s">
        <v>68</v>
      </c>
      <c r="D109" s="11">
        <f>Параметры!$C$4*Параметры!$C$7*(1+Параметры!$C$8)^INT((A109-Параметры!$C$11-1)/12)</f>
        <v>10774793.707170267</v>
      </c>
      <c r="E109" s="11">
        <f>D109/(1+Параметры!$C$13)</f>
        <v>8831798.120631367</v>
      </c>
      <c r="F109" s="11">
        <f t="shared" si="26"/>
        <v>1942995.5865388997</v>
      </c>
      <c r="G109" s="11">
        <f>IF(AND(A109&gt;Параметры!$C$11,A109&lt;=Параметры!$C$11+3),Параметры!$C$28,0)</f>
        <v>0</v>
      </c>
      <c r="H109" s="11">
        <f t="shared" si="27"/>
        <v>1942995.5865388997</v>
      </c>
      <c r="I109" s="11">
        <f>E109*Параметры!$C$16</f>
        <v>883179.81206313672</v>
      </c>
      <c r="J109" s="11">
        <f>Параметры!$C$27</f>
        <v>683060.10928961751</v>
      </c>
      <c r="K109" s="11">
        <f>MAX(0,Параметры!$C$20-Параметры!$C$27*MAX(0,A109-Параметры!$C$11-1))*Параметры!$C$15/12</f>
        <v>181580.14571948993</v>
      </c>
      <c r="L109" s="11">
        <f t="shared" si="28"/>
        <v>7083978.0535591226</v>
      </c>
      <c r="M109" s="11">
        <f>T108*Параметры!$C$10/12</f>
        <v>0</v>
      </c>
      <c r="N109" s="11">
        <f t="shared" si="29"/>
        <v>7083978.0535591226</v>
      </c>
      <c r="O109" s="11">
        <f>MAX(0,N109*Параметры!$C$14)</f>
        <v>1416795.6107118246</v>
      </c>
      <c r="P109" s="11">
        <f t="shared" si="30"/>
        <v>5667182.4428472985</v>
      </c>
      <c r="Q109" s="11">
        <v>0</v>
      </c>
      <c r="R109" s="11">
        <v>0</v>
      </c>
      <c r="S109" s="11">
        <f>MAX(0,MIN(Параметры!$C$26-M109,T108))</f>
        <v>0</v>
      </c>
      <c r="T109" s="11">
        <f t="shared" si="31"/>
        <v>0</v>
      </c>
      <c r="U109" s="11">
        <f t="shared" si="32"/>
        <v>4407246.965598016</v>
      </c>
      <c r="V109" s="11">
        <f t="shared" si="25"/>
        <v>262938117.57663631</v>
      </c>
    </row>
    <row r="110" spans="1:22" x14ac:dyDescent="0.25">
      <c r="A110" s="13">
        <v>109</v>
      </c>
      <c r="B110" s="13" t="s">
        <v>170</v>
      </c>
      <c r="C110" s="14" t="s">
        <v>68</v>
      </c>
      <c r="D110" s="15">
        <f>Параметры!$C$4*Параметры!$C$7*(1+Параметры!$C$8)^INT((A110-Параметры!$C$11-1)/12)</f>
        <v>11529029.266672185</v>
      </c>
      <c r="E110" s="15">
        <f>D110/(1+Параметры!$C$13)</f>
        <v>9450023.989075562</v>
      </c>
      <c r="F110" s="15">
        <f t="shared" si="26"/>
        <v>2079005.2775966227</v>
      </c>
      <c r="G110" s="15">
        <f>IF(AND(A110&gt;Параметры!$C$11,A110&lt;=Параметры!$C$11+3),Параметры!$C$28,0)</f>
        <v>0</v>
      </c>
      <c r="H110" s="15">
        <f t="shared" si="27"/>
        <v>2079005.2775966227</v>
      </c>
      <c r="I110" s="15">
        <f>E110*Параметры!$C$16</f>
        <v>945002.3989075562</v>
      </c>
      <c r="J110" s="15">
        <f>Параметры!$C$27</f>
        <v>683060.10928961751</v>
      </c>
      <c r="K110" s="15">
        <f>MAX(0,Параметры!$C$20-Параметры!$C$27*MAX(0,A110-Параметры!$C$11-1))*Параметры!$C$15/12</f>
        <v>180327.86885245898</v>
      </c>
      <c r="L110" s="15">
        <f t="shared" si="28"/>
        <v>7641633.6120259305</v>
      </c>
      <c r="M110" s="15">
        <f>T109*Параметры!$C$10/12</f>
        <v>0</v>
      </c>
      <c r="N110" s="15">
        <f t="shared" si="29"/>
        <v>7641633.6120259305</v>
      </c>
      <c r="O110" s="15">
        <f>MAX(0,N110*Параметры!$C$14)</f>
        <v>1528326.7224051862</v>
      </c>
      <c r="P110" s="15">
        <f t="shared" si="30"/>
        <v>6113306.8896207446</v>
      </c>
      <c r="Q110" s="15">
        <v>0</v>
      </c>
      <c r="R110" s="15">
        <v>0</v>
      </c>
      <c r="S110" s="15">
        <f>MAX(0,MIN(Параметры!$C$26-M110,T109))</f>
        <v>0</v>
      </c>
      <c r="T110" s="15">
        <f t="shared" si="31"/>
        <v>0</v>
      </c>
      <c r="U110" s="15">
        <f t="shared" si="32"/>
        <v>4717361.7213137392</v>
      </c>
      <c r="V110" s="15">
        <f t="shared" si="25"/>
        <v>267655479.29795006</v>
      </c>
    </row>
    <row r="111" spans="1:22" x14ac:dyDescent="0.25">
      <c r="A111" s="16">
        <v>110</v>
      </c>
      <c r="B111" s="16" t="s">
        <v>171</v>
      </c>
      <c r="C111" s="17" t="s">
        <v>68</v>
      </c>
      <c r="D111" s="11">
        <f>Параметры!$C$4*Параметры!$C$7*(1+Параметры!$C$8)^INT((A111-Параметры!$C$11-1)/12)</f>
        <v>11529029.266672185</v>
      </c>
      <c r="E111" s="11">
        <f>D111/(1+Параметры!$C$13)</f>
        <v>9450023.989075562</v>
      </c>
      <c r="F111" s="11">
        <f t="shared" si="26"/>
        <v>2079005.2775966227</v>
      </c>
      <c r="G111" s="11">
        <f>IF(AND(A111&gt;Параметры!$C$11,A111&lt;=Параметры!$C$11+3),Параметры!$C$28,0)</f>
        <v>0</v>
      </c>
      <c r="H111" s="11">
        <f t="shared" si="27"/>
        <v>2079005.2775966227</v>
      </c>
      <c r="I111" s="11">
        <f>E111*Параметры!$C$16</f>
        <v>945002.3989075562</v>
      </c>
      <c r="J111" s="11">
        <f>Параметры!$C$27</f>
        <v>683060.10928961751</v>
      </c>
      <c r="K111" s="11">
        <f>MAX(0,Параметры!$C$20-Параметры!$C$27*MAX(0,A111-Параметры!$C$11-1))*Параметры!$C$15/12</f>
        <v>179075.59198542801</v>
      </c>
      <c r="L111" s="11">
        <f t="shared" si="28"/>
        <v>7642885.8888929617</v>
      </c>
      <c r="M111" s="11">
        <f>T110*Параметры!$C$10/12</f>
        <v>0</v>
      </c>
      <c r="N111" s="11">
        <f t="shared" si="29"/>
        <v>7642885.8888929617</v>
      </c>
      <c r="O111" s="11">
        <f>MAX(0,N111*Параметры!$C$14)</f>
        <v>1528577.1777785923</v>
      </c>
      <c r="P111" s="11">
        <f t="shared" si="30"/>
        <v>6114308.7111143693</v>
      </c>
      <c r="Q111" s="11">
        <v>0</v>
      </c>
      <c r="R111" s="11">
        <v>0</v>
      </c>
      <c r="S111" s="11">
        <f>MAX(0,MIN(Параметры!$C$26-M111,T110))</f>
        <v>0</v>
      </c>
      <c r="T111" s="11">
        <f t="shared" si="31"/>
        <v>0</v>
      </c>
      <c r="U111" s="11">
        <f t="shared" si="32"/>
        <v>4718363.5428073639</v>
      </c>
      <c r="V111" s="11">
        <f t="shared" si="25"/>
        <v>272373842.84075743</v>
      </c>
    </row>
    <row r="112" spans="1:22" x14ac:dyDescent="0.25">
      <c r="A112" s="13">
        <v>111</v>
      </c>
      <c r="B112" s="13" t="s">
        <v>172</v>
      </c>
      <c r="C112" s="14" t="s">
        <v>68</v>
      </c>
      <c r="D112" s="15">
        <f>Параметры!$C$4*Параметры!$C$7*(1+Параметры!$C$8)^INT((A112-Параметры!$C$11-1)/12)</f>
        <v>11529029.266672185</v>
      </c>
      <c r="E112" s="15">
        <f>D112/(1+Параметры!$C$13)</f>
        <v>9450023.989075562</v>
      </c>
      <c r="F112" s="15">
        <f t="shared" si="26"/>
        <v>2079005.2775966227</v>
      </c>
      <c r="G112" s="15">
        <f>IF(AND(A112&gt;Параметры!$C$11,A112&lt;=Параметры!$C$11+3),Параметры!$C$28,0)</f>
        <v>0</v>
      </c>
      <c r="H112" s="15">
        <f t="shared" si="27"/>
        <v>2079005.2775966227</v>
      </c>
      <c r="I112" s="15">
        <f>E112*Параметры!$C$16</f>
        <v>945002.3989075562</v>
      </c>
      <c r="J112" s="15">
        <f>Параметры!$C$27</f>
        <v>683060.10928961751</v>
      </c>
      <c r="K112" s="15">
        <f>MAX(0,Параметры!$C$20-Параметры!$C$27*MAX(0,A112-Параметры!$C$11-1))*Параметры!$C$15/12</f>
        <v>177823.31511839703</v>
      </c>
      <c r="L112" s="15">
        <f t="shared" si="28"/>
        <v>7644138.1657599928</v>
      </c>
      <c r="M112" s="15">
        <f>T111*Параметры!$C$10/12</f>
        <v>0</v>
      </c>
      <c r="N112" s="15">
        <f t="shared" si="29"/>
        <v>7644138.1657599928</v>
      </c>
      <c r="O112" s="15">
        <f>MAX(0,N112*Параметры!$C$14)</f>
        <v>1528827.6331519987</v>
      </c>
      <c r="P112" s="15">
        <f t="shared" si="30"/>
        <v>6115310.532607994</v>
      </c>
      <c r="Q112" s="15">
        <v>0</v>
      </c>
      <c r="R112" s="15">
        <v>0</v>
      </c>
      <c r="S112" s="15">
        <f>MAX(0,MIN(Параметры!$C$26-M112,T111))</f>
        <v>0</v>
      </c>
      <c r="T112" s="15">
        <f t="shared" si="31"/>
        <v>0</v>
      </c>
      <c r="U112" s="15">
        <f t="shared" si="32"/>
        <v>4719365.3643009886</v>
      </c>
      <c r="V112" s="15">
        <f t="shared" si="25"/>
        <v>277093208.2050584</v>
      </c>
    </row>
    <row r="113" spans="1:22" x14ac:dyDescent="0.25">
      <c r="A113" s="16">
        <v>112</v>
      </c>
      <c r="B113" s="16" t="s">
        <v>173</v>
      </c>
      <c r="C113" s="17" t="s">
        <v>68</v>
      </c>
      <c r="D113" s="11">
        <f>Параметры!$C$4*Параметры!$C$7*(1+Параметры!$C$8)^INT((A113-Параметры!$C$11-1)/12)</f>
        <v>11529029.266672185</v>
      </c>
      <c r="E113" s="11">
        <f>D113/(1+Параметры!$C$13)</f>
        <v>9450023.989075562</v>
      </c>
      <c r="F113" s="11">
        <f t="shared" si="26"/>
        <v>2079005.2775966227</v>
      </c>
      <c r="G113" s="11">
        <f>IF(AND(A113&gt;Параметры!$C$11,A113&lt;=Параметры!$C$11+3),Параметры!$C$28,0)</f>
        <v>0</v>
      </c>
      <c r="H113" s="11">
        <f t="shared" si="27"/>
        <v>2079005.2775966227</v>
      </c>
      <c r="I113" s="11">
        <f>E113*Параметры!$C$16</f>
        <v>945002.3989075562</v>
      </c>
      <c r="J113" s="11">
        <f>Параметры!$C$27</f>
        <v>683060.10928961751</v>
      </c>
      <c r="K113" s="11">
        <f>MAX(0,Параметры!$C$20-Параметры!$C$27*MAX(0,A113-Параметры!$C$11-1))*Параметры!$C$15/12</f>
        <v>176571.03825136609</v>
      </c>
      <c r="L113" s="11">
        <f t="shared" si="28"/>
        <v>7645390.442627023</v>
      </c>
      <c r="M113" s="11">
        <f>T112*Параметры!$C$10/12</f>
        <v>0</v>
      </c>
      <c r="N113" s="11">
        <f t="shared" si="29"/>
        <v>7645390.442627023</v>
      </c>
      <c r="O113" s="11">
        <f>MAX(0,N113*Параметры!$C$14)</f>
        <v>1529078.0885254047</v>
      </c>
      <c r="P113" s="11">
        <f t="shared" si="30"/>
        <v>6116312.3541016188</v>
      </c>
      <c r="Q113" s="11">
        <v>0</v>
      </c>
      <c r="R113" s="11">
        <v>0</v>
      </c>
      <c r="S113" s="11">
        <f>MAX(0,MIN(Параметры!$C$26-M113,T112))</f>
        <v>0</v>
      </c>
      <c r="T113" s="11">
        <f t="shared" si="31"/>
        <v>0</v>
      </c>
      <c r="U113" s="11">
        <f t="shared" si="32"/>
        <v>4720367.1857946133</v>
      </c>
      <c r="V113" s="11">
        <f t="shared" si="25"/>
        <v>281813575.39085299</v>
      </c>
    </row>
    <row r="114" spans="1:22" x14ac:dyDescent="0.25">
      <c r="A114" s="13">
        <v>113</v>
      </c>
      <c r="B114" s="13" t="s">
        <v>174</v>
      </c>
      <c r="C114" s="14" t="s">
        <v>68</v>
      </c>
      <c r="D114" s="15">
        <f>Параметры!$C$4*Параметры!$C$7*(1+Параметры!$C$8)^INT((A114-Параметры!$C$11-1)/12)</f>
        <v>11529029.266672185</v>
      </c>
      <c r="E114" s="15">
        <f>D114/(1+Параметры!$C$13)</f>
        <v>9450023.989075562</v>
      </c>
      <c r="F114" s="15">
        <f t="shared" si="26"/>
        <v>2079005.2775966227</v>
      </c>
      <c r="G114" s="15">
        <f>IF(AND(A114&gt;Параметры!$C$11,A114&lt;=Параметры!$C$11+3),Параметры!$C$28,0)</f>
        <v>0</v>
      </c>
      <c r="H114" s="15">
        <f t="shared" si="27"/>
        <v>2079005.2775966227</v>
      </c>
      <c r="I114" s="15">
        <f>E114*Параметры!$C$16</f>
        <v>945002.3989075562</v>
      </c>
      <c r="J114" s="15">
        <f>Параметры!$C$27</f>
        <v>683060.10928961751</v>
      </c>
      <c r="K114" s="15">
        <f>MAX(0,Параметры!$C$20-Параметры!$C$27*MAX(0,A114-Параметры!$C$11-1))*Параметры!$C$15/12</f>
        <v>175318.76138433511</v>
      </c>
      <c r="L114" s="15">
        <f t="shared" si="28"/>
        <v>7646642.7194940541</v>
      </c>
      <c r="M114" s="15">
        <f>T113*Параметры!$C$10/12</f>
        <v>0</v>
      </c>
      <c r="N114" s="15">
        <f t="shared" si="29"/>
        <v>7646642.7194940541</v>
      </c>
      <c r="O114" s="15">
        <f>MAX(0,N114*Параметры!$C$14)</f>
        <v>1529328.5438988109</v>
      </c>
      <c r="P114" s="15">
        <f t="shared" si="30"/>
        <v>6117314.1755952435</v>
      </c>
      <c r="Q114" s="15">
        <v>0</v>
      </c>
      <c r="R114" s="15">
        <v>0</v>
      </c>
      <c r="S114" s="15">
        <f>MAX(0,MIN(Параметры!$C$26-M114,T113))</f>
        <v>0</v>
      </c>
      <c r="T114" s="15">
        <f t="shared" si="31"/>
        <v>0</v>
      </c>
      <c r="U114" s="15">
        <f t="shared" si="32"/>
        <v>4721369.007288238</v>
      </c>
      <c r="V114" s="15">
        <f t="shared" si="25"/>
        <v>286534944.39814121</v>
      </c>
    </row>
    <row r="115" spans="1:22" x14ac:dyDescent="0.25">
      <c r="A115" s="16">
        <v>114</v>
      </c>
      <c r="B115" s="16" t="s">
        <v>175</v>
      </c>
      <c r="C115" s="17" t="s">
        <v>68</v>
      </c>
      <c r="D115" s="11">
        <f>Параметры!$C$4*Параметры!$C$7*(1+Параметры!$C$8)^INT((A115-Параметры!$C$11-1)/12)</f>
        <v>11529029.266672185</v>
      </c>
      <c r="E115" s="11">
        <f>D115/(1+Параметры!$C$13)</f>
        <v>9450023.989075562</v>
      </c>
      <c r="F115" s="11">
        <f t="shared" si="26"/>
        <v>2079005.2775966227</v>
      </c>
      <c r="G115" s="11">
        <f>IF(AND(A115&gt;Параметры!$C$11,A115&lt;=Параметры!$C$11+3),Параметры!$C$28,0)</f>
        <v>0</v>
      </c>
      <c r="H115" s="11">
        <f t="shared" si="27"/>
        <v>2079005.2775966227</v>
      </c>
      <c r="I115" s="11">
        <f>E115*Параметры!$C$16</f>
        <v>945002.3989075562</v>
      </c>
      <c r="J115" s="11">
        <f>Параметры!$C$27</f>
        <v>683060.10928961751</v>
      </c>
      <c r="K115" s="11">
        <f>MAX(0,Параметры!$C$20-Параметры!$C$27*MAX(0,A115-Параметры!$C$11-1))*Параметры!$C$15/12</f>
        <v>174066.48451730417</v>
      </c>
      <c r="L115" s="11">
        <f t="shared" si="28"/>
        <v>7647894.9963610852</v>
      </c>
      <c r="M115" s="11">
        <f>T114*Параметры!$C$10/12</f>
        <v>0</v>
      </c>
      <c r="N115" s="11">
        <f t="shared" si="29"/>
        <v>7647894.9963610852</v>
      </c>
      <c r="O115" s="11">
        <f>MAX(0,N115*Параметры!$C$14)</f>
        <v>1529578.999272217</v>
      </c>
      <c r="P115" s="11">
        <f t="shared" si="30"/>
        <v>6118315.9970888682</v>
      </c>
      <c r="Q115" s="11">
        <v>0</v>
      </c>
      <c r="R115" s="11">
        <v>0</v>
      </c>
      <c r="S115" s="11">
        <f>MAX(0,MIN(Параметры!$C$26-M115,T114))</f>
        <v>0</v>
      </c>
      <c r="T115" s="11">
        <f t="shared" si="31"/>
        <v>0</v>
      </c>
      <c r="U115" s="11">
        <f t="shared" si="32"/>
        <v>4722370.8287818627</v>
      </c>
      <c r="V115" s="11">
        <f t="shared" si="25"/>
        <v>291257315.22692305</v>
      </c>
    </row>
    <row r="116" spans="1:22" x14ac:dyDescent="0.25">
      <c r="A116" s="13">
        <v>115</v>
      </c>
      <c r="B116" s="13" t="s">
        <v>176</v>
      </c>
      <c r="C116" s="14" t="s">
        <v>68</v>
      </c>
      <c r="D116" s="15">
        <f>Параметры!$C$4*Параметры!$C$7*(1+Параметры!$C$8)^INT((A116-Параметры!$C$11-1)/12)</f>
        <v>11529029.266672185</v>
      </c>
      <c r="E116" s="15">
        <f>D116/(1+Параметры!$C$13)</f>
        <v>9450023.989075562</v>
      </c>
      <c r="F116" s="15">
        <f t="shared" si="26"/>
        <v>2079005.2775966227</v>
      </c>
      <c r="G116" s="15">
        <f>IF(AND(A116&gt;Параметры!$C$11,A116&lt;=Параметры!$C$11+3),Параметры!$C$28,0)</f>
        <v>0</v>
      </c>
      <c r="H116" s="15">
        <f t="shared" si="27"/>
        <v>2079005.2775966227</v>
      </c>
      <c r="I116" s="15">
        <f>E116*Параметры!$C$16</f>
        <v>945002.3989075562</v>
      </c>
      <c r="J116" s="15">
        <f>Параметры!$C$27</f>
        <v>683060.10928961751</v>
      </c>
      <c r="K116" s="15">
        <f>MAX(0,Параметры!$C$20-Параметры!$C$27*MAX(0,A116-Параметры!$C$11-1))*Параметры!$C$15/12</f>
        <v>172814.20765027319</v>
      </c>
      <c r="L116" s="15">
        <f t="shared" si="28"/>
        <v>7649147.2732281163</v>
      </c>
      <c r="M116" s="15">
        <f>T115*Параметры!$C$10/12</f>
        <v>0</v>
      </c>
      <c r="N116" s="15">
        <f t="shared" si="29"/>
        <v>7649147.2732281163</v>
      </c>
      <c r="O116" s="15">
        <f>MAX(0,N116*Параметры!$C$14)</f>
        <v>1529829.4546456235</v>
      </c>
      <c r="P116" s="15">
        <f t="shared" si="30"/>
        <v>6119317.8185824929</v>
      </c>
      <c r="Q116" s="15">
        <v>0</v>
      </c>
      <c r="R116" s="15">
        <v>0</v>
      </c>
      <c r="S116" s="15">
        <f>MAX(0,MIN(Параметры!$C$26-M116,T115))</f>
        <v>0</v>
      </c>
      <c r="T116" s="15">
        <f t="shared" si="31"/>
        <v>0</v>
      </c>
      <c r="U116" s="15">
        <f t="shared" si="32"/>
        <v>4723372.6502754875</v>
      </c>
      <c r="V116" s="15">
        <f t="shared" si="25"/>
        <v>295980687.87719852</v>
      </c>
    </row>
    <row r="117" spans="1:22" x14ac:dyDescent="0.25">
      <c r="A117" s="16">
        <v>116</v>
      </c>
      <c r="B117" s="16" t="s">
        <v>177</v>
      </c>
      <c r="C117" s="17" t="s">
        <v>68</v>
      </c>
      <c r="D117" s="11">
        <f>Параметры!$C$4*Параметры!$C$7*(1+Параметры!$C$8)^INT((A117-Параметры!$C$11-1)/12)</f>
        <v>11529029.266672185</v>
      </c>
      <c r="E117" s="11">
        <f>D117/(1+Параметры!$C$13)</f>
        <v>9450023.989075562</v>
      </c>
      <c r="F117" s="11">
        <f t="shared" si="26"/>
        <v>2079005.2775966227</v>
      </c>
      <c r="G117" s="11">
        <f>IF(AND(A117&gt;Параметры!$C$11,A117&lt;=Параметры!$C$11+3),Параметры!$C$28,0)</f>
        <v>0</v>
      </c>
      <c r="H117" s="11">
        <f t="shared" si="27"/>
        <v>2079005.2775966227</v>
      </c>
      <c r="I117" s="11">
        <f>E117*Параметры!$C$16</f>
        <v>945002.3989075562</v>
      </c>
      <c r="J117" s="11">
        <f>Параметры!$C$27</f>
        <v>683060.10928961751</v>
      </c>
      <c r="K117" s="11">
        <f>MAX(0,Параметры!$C$20-Параметры!$C$27*MAX(0,A117-Параметры!$C$11-1))*Параметры!$C$15/12</f>
        <v>171561.93078324225</v>
      </c>
      <c r="L117" s="11">
        <f t="shared" si="28"/>
        <v>7650399.5500951475</v>
      </c>
      <c r="M117" s="11">
        <f>T116*Параметры!$C$10/12</f>
        <v>0</v>
      </c>
      <c r="N117" s="11">
        <f t="shared" si="29"/>
        <v>7650399.5500951475</v>
      </c>
      <c r="O117" s="11">
        <f>MAX(0,N117*Параметры!$C$14)</f>
        <v>1530079.9100190296</v>
      </c>
      <c r="P117" s="11">
        <f t="shared" si="30"/>
        <v>6120319.6400761176</v>
      </c>
      <c r="Q117" s="11">
        <v>0</v>
      </c>
      <c r="R117" s="11">
        <v>0</v>
      </c>
      <c r="S117" s="11">
        <f>MAX(0,MIN(Параметры!$C$26-M117,T116))</f>
        <v>0</v>
      </c>
      <c r="T117" s="11">
        <f t="shared" si="31"/>
        <v>0</v>
      </c>
      <c r="U117" s="11">
        <f t="shared" si="32"/>
        <v>4724374.4717691122</v>
      </c>
      <c r="V117" s="11">
        <f t="shared" si="25"/>
        <v>300705062.34896761</v>
      </c>
    </row>
    <row r="118" spans="1:22" x14ac:dyDescent="0.25">
      <c r="A118" s="13">
        <v>117</v>
      </c>
      <c r="B118" s="13" t="s">
        <v>178</v>
      </c>
      <c r="C118" s="14" t="s">
        <v>68</v>
      </c>
      <c r="D118" s="15">
        <f>Параметры!$C$4*Параметры!$C$7*(1+Параметры!$C$8)^INT((A118-Параметры!$C$11-1)/12)</f>
        <v>11529029.266672185</v>
      </c>
      <c r="E118" s="15">
        <f>D118/(1+Параметры!$C$13)</f>
        <v>9450023.989075562</v>
      </c>
      <c r="F118" s="15">
        <f t="shared" si="26"/>
        <v>2079005.2775966227</v>
      </c>
      <c r="G118" s="15">
        <f>IF(AND(A118&gt;Параметры!$C$11,A118&lt;=Параметры!$C$11+3),Параметры!$C$28,0)</f>
        <v>0</v>
      </c>
      <c r="H118" s="15">
        <f t="shared" si="27"/>
        <v>2079005.2775966227</v>
      </c>
      <c r="I118" s="15">
        <f>E118*Параметры!$C$16</f>
        <v>945002.3989075562</v>
      </c>
      <c r="J118" s="15">
        <f>Параметры!$C$27</f>
        <v>683060.10928961751</v>
      </c>
      <c r="K118" s="15">
        <f>MAX(0,Параметры!$C$20-Параметры!$C$27*MAX(0,A118-Параметры!$C$11-1))*Параметры!$C$15/12</f>
        <v>170309.65391621127</v>
      </c>
      <c r="L118" s="15">
        <f t="shared" si="28"/>
        <v>7651651.8269621786</v>
      </c>
      <c r="M118" s="15">
        <f>T117*Параметры!$C$10/12</f>
        <v>0</v>
      </c>
      <c r="N118" s="15">
        <f t="shared" si="29"/>
        <v>7651651.8269621786</v>
      </c>
      <c r="O118" s="15">
        <f>MAX(0,N118*Параметры!$C$14)</f>
        <v>1530330.3653924358</v>
      </c>
      <c r="P118" s="15">
        <f t="shared" si="30"/>
        <v>6121321.4615697432</v>
      </c>
      <c r="Q118" s="15">
        <v>0</v>
      </c>
      <c r="R118" s="15">
        <v>0</v>
      </c>
      <c r="S118" s="15">
        <f>MAX(0,MIN(Параметры!$C$26-M118,T117))</f>
        <v>0</v>
      </c>
      <c r="T118" s="15">
        <f t="shared" si="31"/>
        <v>0</v>
      </c>
      <c r="U118" s="15">
        <f t="shared" si="32"/>
        <v>4725376.2932627378</v>
      </c>
      <c r="V118" s="15">
        <f t="shared" si="25"/>
        <v>305430438.64223033</v>
      </c>
    </row>
    <row r="119" spans="1:22" x14ac:dyDescent="0.25">
      <c r="A119" s="16">
        <v>118</v>
      </c>
      <c r="B119" s="16" t="s">
        <v>179</v>
      </c>
      <c r="C119" s="17" t="s">
        <v>68</v>
      </c>
      <c r="D119" s="11">
        <f>Параметры!$C$4*Параметры!$C$7*(1+Параметры!$C$8)^INT((A119-Параметры!$C$11-1)/12)</f>
        <v>11529029.266672185</v>
      </c>
      <c r="E119" s="11">
        <f>D119/(1+Параметры!$C$13)</f>
        <v>9450023.989075562</v>
      </c>
      <c r="F119" s="11">
        <f t="shared" si="26"/>
        <v>2079005.2775966227</v>
      </c>
      <c r="G119" s="11">
        <f>IF(AND(A119&gt;Параметры!$C$11,A119&lt;=Параметры!$C$11+3),Параметры!$C$28,0)</f>
        <v>0</v>
      </c>
      <c r="H119" s="11">
        <f t="shared" si="27"/>
        <v>2079005.2775966227</v>
      </c>
      <c r="I119" s="11">
        <f>E119*Параметры!$C$16</f>
        <v>945002.3989075562</v>
      </c>
      <c r="J119" s="11">
        <f>Параметры!$C$27</f>
        <v>683060.10928961751</v>
      </c>
      <c r="K119" s="11">
        <f>MAX(0,Параметры!$C$20-Параметры!$C$27*MAX(0,A119-Параметры!$C$11-1))*Параметры!$C$15/12</f>
        <v>169057.3770491803</v>
      </c>
      <c r="L119" s="11">
        <f t="shared" si="28"/>
        <v>7652904.1038292088</v>
      </c>
      <c r="M119" s="11">
        <f>T118*Параметры!$C$10/12</f>
        <v>0</v>
      </c>
      <c r="N119" s="11">
        <f t="shared" si="29"/>
        <v>7652904.1038292088</v>
      </c>
      <c r="O119" s="11">
        <f>MAX(0,N119*Параметры!$C$14)</f>
        <v>1530580.8207658418</v>
      </c>
      <c r="P119" s="11">
        <f t="shared" si="30"/>
        <v>6122323.283063367</v>
      </c>
      <c r="Q119" s="11">
        <v>0</v>
      </c>
      <c r="R119" s="11">
        <v>0</v>
      </c>
      <c r="S119" s="11">
        <f>MAX(0,MIN(Параметры!$C$26-M119,T118))</f>
        <v>0</v>
      </c>
      <c r="T119" s="11">
        <f t="shared" si="31"/>
        <v>0</v>
      </c>
      <c r="U119" s="11">
        <f t="shared" si="32"/>
        <v>4726378.1147563616</v>
      </c>
      <c r="V119" s="11">
        <f t="shared" si="25"/>
        <v>310156816.75698668</v>
      </c>
    </row>
    <row r="120" spans="1:22" x14ac:dyDescent="0.25">
      <c r="A120" s="13">
        <v>119</v>
      </c>
      <c r="B120" s="13" t="s">
        <v>180</v>
      </c>
      <c r="C120" s="14" t="s">
        <v>68</v>
      </c>
      <c r="D120" s="15">
        <f>Параметры!$C$4*Параметры!$C$7*(1+Параметры!$C$8)^INT((A120-Параметры!$C$11-1)/12)</f>
        <v>11529029.266672185</v>
      </c>
      <c r="E120" s="15">
        <f>D120/(1+Параметры!$C$13)</f>
        <v>9450023.989075562</v>
      </c>
      <c r="F120" s="15">
        <f t="shared" si="26"/>
        <v>2079005.2775966227</v>
      </c>
      <c r="G120" s="15">
        <f>IF(AND(A120&gt;Параметры!$C$11,A120&lt;=Параметры!$C$11+3),Параметры!$C$28,0)</f>
        <v>0</v>
      </c>
      <c r="H120" s="15">
        <f t="shared" si="27"/>
        <v>2079005.2775966227</v>
      </c>
      <c r="I120" s="15">
        <f>E120*Параметры!$C$16</f>
        <v>945002.3989075562</v>
      </c>
      <c r="J120" s="15">
        <f>Параметры!$C$27</f>
        <v>683060.10928961751</v>
      </c>
      <c r="K120" s="15">
        <f>MAX(0,Параметры!$C$20-Параметры!$C$27*MAX(0,A120-Параметры!$C$11-1))*Параметры!$C$15/12</f>
        <v>167805.10018214936</v>
      </c>
      <c r="L120" s="15">
        <f t="shared" si="28"/>
        <v>7654156.3806962399</v>
      </c>
      <c r="M120" s="15">
        <f>T119*Параметры!$C$10/12</f>
        <v>0</v>
      </c>
      <c r="N120" s="15">
        <f t="shared" si="29"/>
        <v>7654156.3806962399</v>
      </c>
      <c r="O120" s="15">
        <f>MAX(0,N120*Параметры!$C$14)</f>
        <v>1530831.2761392482</v>
      </c>
      <c r="P120" s="15">
        <f t="shared" si="30"/>
        <v>6123325.1045569917</v>
      </c>
      <c r="Q120" s="15">
        <v>0</v>
      </c>
      <c r="R120" s="15">
        <v>0</v>
      </c>
      <c r="S120" s="15">
        <f>MAX(0,MIN(Параметры!$C$26-M120,T119))</f>
        <v>0</v>
      </c>
      <c r="T120" s="15">
        <f t="shared" si="31"/>
        <v>0</v>
      </c>
      <c r="U120" s="15">
        <f t="shared" si="32"/>
        <v>4727379.9362499863</v>
      </c>
      <c r="V120" s="15">
        <f t="shared" si="25"/>
        <v>314884196.69323665</v>
      </c>
    </row>
    <row r="121" spans="1:22" x14ac:dyDescent="0.25">
      <c r="A121" s="16">
        <v>120</v>
      </c>
      <c r="B121" s="16" t="s">
        <v>181</v>
      </c>
      <c r="C121" s="17" t="s">
        <v>68</v>
      </c>
      <c r="D121" s="11">
        <f>Параметры!$C$4*Параметры!$C$7*(1+Параметры!$C$8)^INT((A121-Параметры!$C$11-1)/12)</f>
        <v>11529029.266672185</v>
      </c>
      <c r="E121" s="11">
        <f>D121/(1+Параметры!$C$13)</f>
        <v>9450023.989075562</v>
      </c>
      <c r="F121" s="11">
        <f t="shared" si="26"/>
        <v>2079005.2775966227</v>
      </c>
      <c r="G121" s="11">
        <f>IF(AND(A121&gt;Параметры!$C$11,A121&lt;=Параметры!$C$11+3),Параметры!$C$28,0)</f>
        <v>0</v>
      </c>
      <c r="H121" s="11">
        <f t="shared" si="27"/>
        <v>2079005.2775966227</v>
      </c>
      <c r="I121" s="11">
        <f>E121*Параметры!$C$16</f>
        <v>945002.3989075562</v>
      </c>
      <c r="J121" s="11">
        <f>Параметры!$C$27</f>
        <v>683060.10928961751</v>
      </c>
      <c r="K121" s="11">
        <f>MAX(0,Параметры!$C$20-Параметры!$C$27*MAX(0,A121-Параметры!$C$11-1))*Параметры!$C$15/12</f>
        <v>166552.82331511838</v>
      </c>
      <c r="L121" s="11">
        <f t="shared" si="28"/>
        <v>7655408.657563271</v>
      </c>
      <c r="M121" s="11">
        <f>T120*Параметры!$C$10/12</f>
        <v>0</v>
      </c>
      <c r="N121" s="11">
        <f t="shared" si="29"/>
        <v>7655408.657563271</v>
      </c>
      <c r="O121" s="11">
        <f>MAX(0,N121*Параметры!$C$14)</f>
        <v>1531081.7315126543</v>
      </c>
      <c r="P121" s="11">
        <f t="shared" si="30"/>
        <v>6124326.9260506164</v>
      </c>
      <c r="Q121" s="11">
        <v>0</v>
      </c>
      <c r="R121" s="11">
        <v>0</v>
      </c>
      <c r="S121" s="11">
        <f>MAX(0,MIN(Параметры!$C$26-M121,T120))</f>
        <v>0</v>
      </c>
      <c r="T121" s="11">
        <f t="shared" si="31"/>
        <v>0</v>
      </c>
      <c r="U121" s="11">
        <f t="shared" si="32"/>
        <v>4728381.757743611</v>
      </c>
      <c r="V121" s="11">
        <f t="shared" si="25"/>
        <v>319612578.45098025</v>
      </c>
    </row>
    <row r="122" spans="1:22" x14ac:dyDescent="0.25">
      <c r="A122" s="18" t="s">
        <v>182</v>
      </c>
      <c r="C122" s="19">
        <f t="shared" ref="C122:V122" si="33">SUM(C2:C121)</f>
        <v>0</v>
      </c>
      <c r="D122" s="19">
        <f t="shared" si="33"/>
        <v>1002093822.2824534</v>
      </c>
      <c r="E122" s="19">
        <f t="shared" si="33"/>
        <v>821388378.92004383</v>
      </c>
      <c r="F122" s="19">
        <f t="shared" si="33"/>
        <v>180705443.36240989</v>
      </c>
      <c r="G122" s="19">
        <f t="shared" si="33"/>
        <v>36065573.770491809</v>
      </c>
      <c r="H122" s="19">
        <f t="shared" si="33"/>
        <v>144639869.59191784</v>
      </c>
      <c r="I122" s="19">
        <f t="shared" si="33"/>
        <v>82138837.8920044</v>
      </c>
      <c r="J122" s="19">
        <f t="shared" si="33"/>
        <v>77868852.459016308</v>
      </c>
      <c r="K122" s="19">
        <f t="shared" si="33"/>
        <v>27026639.344262291</v>
      </c>
      <c r="L122" s="19">
        <f t="shared" si="33"/>
        <v>634354049.22476172</v>
      </c>
      <c r="M122" s="19">
        <f t="shared" si="33"/>
        <v>25353721.411575604</v>
      </c>
      <c r="N122" s="19">
        <f t="shared" si="33"/>
        <v>609000327.81318593</v>
      </c>
      <c r="O122" s="19">
        <f t="shared" si="33"/>
        <v>122616732.22930381</v>
      </c>
      <c r="P122" s="19">
        <f t="shared" si="33"/>
        <v>490466928.91721523</v>
      </c>
      <c r="Q122" s="19">
        <f t="shared" si="33"/>
        <v>100000000</v>
      </c>
      <c r="R122" s="19">
        <f t="shared" si="33"/>
        <v>70000000</v>
      </c>
      <c r="S122" s="19">
        <f t="shared" si="33"/>
        <v>70000000</v>
      </c>
      <c r="T122" s="19">
        <f t="shared" si="33"/>
        <v>1451223284.6945364</v>
      </c>
      <c r="U122" s="19">
        <f t="shared" si="33"/>
        <v>319612578.45098025</v>
      </c>
      <c r="V122" s="19">
        <f t="shared" si="33"/>
        <v>11996569012.399647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sqref="A1:C1"/>
    </sheetView>
  </sheetViews>
  <sheetFormatPr defaultRowHeight="15" x14ac:dyDescent="0.25"/>
  <cols>
    <col min="1" max="1" width="44" customWidth="1"/>
    <col min="2" max="2" width="22" customWidth="1"/>
    <col min="3" max="3" width="20" customWidth="1"/>
  </cols>
  <sheetData>
    <row r="1" spans="1:3" ht="24" customHeight="1" x14ac:dyDescent="0.25">
      <c r="A1" s="27" t="s">
        <v>183</v>
      </c>
      <c r="B1" s="28"/>
      <c r="C1" s="29"/>
    </row>
    <row r="2" spans="1:3" x14ac:dyDescent="0.25">
      <c r="A2" s="10" t="s">
        <v>184</v>
      </c>
      <c r="C2" s="20" t="str">
        <f>Параметры!$C$2</f>
        <v>Склад_Челябинск</v>
      </c>
    </row>
    <row r="3" spans="1:3" x14ac:dyDescent="0.25">
      <c r="A3" s="10" t="s">
        <v>185</v>
      </c>
      <c r="C3" s="20" t="str">
        <f>Параметры!$C$3</f>
        <v>2026-07</v>
      </c>
    </row>
    <row r="4" spans="1:3" x14ac:dyDescent="0.25">
      <c r="A4" s="10" t="s">
        <v>18</v>
      </c>
      <c r="C4" s="20" t="str">
        <f>Параметры!$C$12&amp;" мес."</f>
        <v>120 мес.</v>
      </c>
    </row>
    <row r="5" spans="1:3" x14ac:dyDescent="0.25">
      <c r="A5" s="27" t="s">
        <v>186</v>
      </c>
      <c r="B5" s="28"/>
      <c r="C5" s="29"/>
    </row>
    <row r="6" spans="1:3" x14ac:dyDescent="0.25">
      <c r="A6" s="21" t="s">
        <v>187</v>
      </c>
      <c r="B6" s="22" t="s">
        <v>9</v>
      </c>
      <c r="C6" s="23">
        <f>NPV(Параметры!$C$9/12,'Денежные потоки'!U2:U121)</f>
        <v>120147498.94960843</v>
      </c>
    </row>
    <row r="7" spans="1:3" x14ac:dyDescent="0.25">
      <c r="A7" s="21" t="s">
        <v>188</v>
      </c>
      <c r="B7" s="22" t="s">
        <v>189</v>
      </c>
      <c r="C7" s="24">
        <f>IFERROR((1+IRR('Денежные потоки'!U2:U121))^12-1,"Н/Д")</f>
        <v>0.79052775523390317</v>
      </c>
    </row>
    <row r="8" spans="1:3" x14ac:dyDescent="0.25">
      <c r="A8" s="21" t="s">
        <v>190</v>
      </c>
      <c r="B8" s="22" t="s">
        <v>189</v>
      </c>
      <c r="C8" s="24">
        <f>IFERROR(SUM('Денежные потоки'!P2:P121)/Параметры!$C$23,"Н/Д")</f>
        <v>8.1744488152869188</v>
      </c>
    </row>
    <row r="9" spans="1:3" x14ac:dyDescent="0.25">
      <c r="A9" s="21" t="s">
        <v>191</v>
      </c>
      <c r="B9" s="22" t="s">
        <v>17</v>
      </c>
      <c r="C9" s="25" t="str">
        <f>IFERROR(MATCH(TRUE,'Денежные потоки'!V2:V121&gt;=0,0),"Нет в горизонте")</f>
        <v>Нет в горизонте</v>
      </c>
    </row>
    <row r="10" spans="1:3" x14ac:dyDescent="0.25">
      <c r="A10" s="21" t="s">
        <v>192</v>
      </c>
      <c r="B10" s="22" t="s">
        <v>189</v>
      </c>
      <c r="C10" s="24">
        <f>Параметры!$C$9</f>
        <v>0.14499999999999999</v>
      </c>
    </row>
    <row r="11" spans="1:3" x14ac:dyDescent="0.25">
      <c r="A11" s="27" t="s">
        <v>193</v>
      </c>
      <c r="B11" s="28"/>
      <c r="C11" s="29"/>
    </row>
    <row r="12" spans="1:3" x14ac:dyDescent="0.25">
      <c r="A12" s="17" t="s">
        <v>194</v>
      </c>
      <c r="B12" s="17" t="s">
        <v>9</v>
      </c>
      <c r="C12" s="11">
        <f>SUM('Денежные потоки'!D2:D121)</f>
        <v>1002093822.2824534</v>
      </c>
    </row>
    <row r="13" spans="1:3" x14ac:dyDescent="0.25">
      <c r="A13" s="17" t="s">
        <v>195</v>
      </c>
      <c r="B13" s="17" t="s">
        <v>9</v>
      </c>
      <c r="C13" s="11">
        <f>SUM('Денежные потоки'!E2:E121)</f>
        <v>821388378.92004383</v>
      </c>
    </row>
    <row r="14" spans="1:3" x14ac:dyDescent="0.25">
      <c r="A14" s="17" t="s">
        <v>23</v>
      </c>
      <c r="B14" s="17" t="s">
        <v>9</v>
      </c>
      <c r="C14" s="11">
        <f>SUM('Денежные потоки'!I2:I121)</f>
        <v>82138837.8920044</v>
      </c>
    </row>
    <row r="15" spans="1:3" x14ac:dyDescent="0.25">
      <c r="A15" s="17" t="s">
        <v>196</v>
      </c>
      <c r="B15" s="17" t="s">
        <v>9</v>
      </c>
      <c r="C15" s="11">
        <f>SUM('Денежные потоки'!P2:P121)</f>
        <v>490466928.91721523</v>
      </c>
    </row>
    <row r="16" spans="1:3" x14ac:dyDescent="0.25">
      <c r="A16" s="27" t="s">
        <v>197</v>
      </c>
      <c r="B16" s="28"/>
      <c r="C16" s="29"/>
    </row>
    <row r="17" spans="1:3" x14ac:dyDescent="0.25">
      <c r="A17" s="17" t="s">
        <v>53</v>
      </c>
      <c r="B17" s="17" t="s">
        <v>9</v>
      </c>
      <c r="C17" s="11">
        <f>SUM('Денежные потоки'!O2:O121)</f>
        <v>122616732.22930381</v>
      </c>
    </row>
    <row r="18" spans="1:3" x14ac:dyDescent="0.25">
      <c r="A18" s="17" t="s">
        <v>198</v>
      </c>
      <c r="B18" s="17" t="s">
        <v>9</v>
      </c>
      <c r="C18" s="11">
        <f>SUMIF('Денежные потоки'!H2:H121,"&gt;0",'Денежные потоки'!H2:H121)</f>
        <v>177075443.36240986</v>
      </c>
    </row>
    <row r="19" spans="1:3" x14ac:dyDescent="0.25">
      <c r="A19" s="17" t="s">
        <v>199</v>
      </c>
      <c r="B19" s="17" t="s">
        <v>9</v>
      </c>
      <c r="C19" s="11">
        <f>SUM('Денежные потоки'!G2:G121)</f>
        <v>36065573.770491809</v>
      </c>
    </row>
    <row r="20" spans="1:3" x14ac:dyDescent="0.25">
      <c r="A20" s="17" t="s">
        <v>200</v>
      </c>
      <c r="B20" s="17" t="s">
        <v>9</v>
      </c>
      <c r="C20" s="11">
        <f>SUM('Денежные потоки'!K2:K121)</f>
        <v>27026639.344262291</v>
      </c>
    </row>
    <row r="21" spans="1:3" x14ac:dyDescent="0.25">
      <c r="A21" s="17" t="s">
        <v>201</v>
      </c>
      <c r="B21" s="17" t="s">
        <v>9</v>
      </c>
      <c r="C21" s="11">
        <f>SUM('Денежные потоки'!M2:M121)</f>
        <v>25353721.411575604</v>
      </c>
    </row>
    <row r="22" spans="1:3" x14ac:dyDescent="0.25">
      <c r="A22" s="27" t="s">
        <v>202</v>
      </c>
      <c r="B22" s="28"/>
      <c r="C22" s="29"/>
    </row>
    <row r="23" spans="1:3" x14ac:dyDescent="0.25">
      <c r="A23" s="17" t="s">
        <v>32</v>
      </c>
      <c r="B23" s="17" t="s">
        <v>9</v>
      </c>
      <c r="C23" s="11">
        <f>Параметры!$C$23</f>
        <v>60000000.000000007</v>
      </c>
    </row>
    <row r="24" spans="1:3" x14ac:dyDescent="0.25">
      <c r="A24" s="17" t="s">
        <v>203</v>
      </c>
      <c r="B24" s="17" t="s">
        <v>9</v>
      </c>
      <c r="C24" s="11">
        <f>Параметры!$C$22</f>
        <v>140000000</v>
      </c>
    </row>
    <row r="25" spans="1:3" x14ac:dyDescent="0.25">
      <c r="A25" s="17" t="s">
        <v>204</v>
      </c>
      <c r="B25" s="17" t="s">
        <v>9</v>
      </c>
      <c r="C25" s="11">
        <f>Параметры!$C$5</f>
        <v>200000000</v>
      </c>
    </row>
  </sheetData>
  <mergeCells count="5">
    <mergeCell ref="A11:C11"/>
    <mergeCell ref="A1:C1"/>
    <mergeCell ref="A5:C5"/>
    <mergeCell ref="A22:C2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selection activeCell="K10" sqref="K10"/>
    </sheetView>
  </sheetViews>
  <sheetFormatPr defaultRowHeight="15" x14ac:dyDescent="0.25"/>
  <cols>
    <col min="1" max="7" width="22" customWidth="1"/>
  </cols>
  <sheetData>
    <row r="1" spans="1:7" x14ac:dyDescent="0.25">
      <c r="A1" s="1" t="s">
        <v>205</v>
      </c>
    </row>
    <row r="2" spans="1:7" x14ac:dyDescent="0.25">
      <c r="A2" s="26"/>
      <c r="B2" s="26"/>
      <c r="C2" s="26"/>
      <c r="D2" s="26"/>
      <c r="E2" s="26"/>
      <c r="F2" s="26" t="s">
        <v>206</v>
      </c>
      <c r="G2" s="26" t="s">
        <v>207</v>
      </c>
    </row>
    <row r="3" spans="1:7" x14ac:dyDescent="0.25">
      <c r="A3" s="9" t="s">
        <v>208</v>
      </c>
      <c r="B3" t="s">
        <v>209</v>
      </c>
      <c r="C3" t="s">
        <v>210</v>
      </c>
      <c r="D3" t="s">
        <v>211</v>
      </c>
      <c r="E3" t="s">
        <v>212</v>
      </c>
    </row>
    <row r="4" spans="1:7" x14ac:dyDescent="0.25">
      <c r="A4" t="s">
        <v>213</v>
      </c>
      <c r="B4">
        <f>Параметры!$C$5*1.2</f>
        <v>240000000</v>
      </c>
      <c r="C4">
        <f>Параметры!$C$5</f>
        <v>200000000</v>
      </c>
      <c r="D4">
        <f>Параметры!$C$5*0.8</f>
        <v>160000000</v>
      </c>
      <c r="E4" t="s">
        <v>214</v>
      </c>
    </row>
    <row r="5" spans="1:7" x14ac:dyDescent="0.25">
      <c r="A5" t="s">
        <v>215</v>
      </c>
      <c r="B5">
        <f>Параметры!$C$7*0.8</f>
        <v>1073.6000000000001</v>
      </c>
      <c r="C5">
        <f>Параметры!$C$7</f>
        <v>1342</v>
      </c>
      <c r="D5">
        <f>Параметры!$C$7*1.2</f>
        <v>1610.3999999999999</v>
      </c>
      <c r="E5" t="s">
        <v>216</v>
      </c>
    </row>
    <row r="6" spans="1:7" x14ac:dyDescent="0.25">
      <c r="A6" t="s">
        <v>15</v>
      </c>
      <c r="B6">
        <f>Параметры!$C$10*1.2</f>
        <v>0.24</v>
      </c>
      <c r="C6">
        <f>Параметры!$C$10</f>
        <v>0.2</v>
      </c>
      <c r="D6">
        <f>Параметры!$C$10*0.8</f>
        <v>0.16000000000000003</v>
      </c>
      <c r="E6" t="s">
        <v>217</v>
      </c>
    </row>
    <row r="7" spans="1:7" x14ac:dyDescent="0.25">
      <c r="A7" t="s">
        <v>218</v>
      </c>
      <c r="B7">
        <f>Параметры!$C$8*0.8</f>
        <v>5.6000000000000008E-2</v>
      </c>
      <c r="C7">
        <f>Параметры!$C$8</f>
        <v>7.0000000000000007E-2</v>
      </c>
      <c r="D7">
        <f>Параметры!$C$8*1.2</f>
        <v>8.4000000000000005E-2</v>
      </c>
      <c r="E7" t="s">
        <v>219</v>
      </c>
    </row>
    <row r="8" spans="1:7" x14ac:dyDescent="0.25">
      <c r="A8" t="s">
        <v>220</v>
      </c>
      <c r="B8">
        <f>Параметры!$C$9*1.2</f>
        <v>0.17399999999999999</v>
      </c>
      <c r="C8">
        <f>Параметры!$C$9</f>
        <v>0.14499999999999999</v>
      </c>
      <c r="D8">
        <f>Параметры!$C$9*0.8</f>
        <v>0.11599999999999999</v>
      </c>
      <c r="E8" t="s">
        <v>221</v>
      </c>
    </row>
    <row r="10" spans="1:7" x14ac:dyDescent="0.25">
      <c r="A10" t="s">
        <v>222</v>
      </c>
    </row>
    <row r="11" spans="1:7" x14ac:dyDescent="0.25">
      <c r="A11" t="s">
        <v>223</v>
      </c>
      <c r="B11" t="s">
        <v>9</v>
      </c>
      <c r="C11">
        <f>ИТОГ!$C$6</f>
        <v>120147498.94960843</v>
      </c>
    </row>
    <row r="12" spans="1:7" x14ac:dyDescent="0.25">
      <c r="A12" t="s">
        <v>224</v>
      </c>
      <c r="B12" t="s">
        <v>189</v>
      </c>
      <c r="C12">
        <f>ИТОГ!$C$7</f>
        <v>0.79052775523390317</v>
      </c>
    </row>
    <row r="13" spans="1:7" x14ac:dyDescent="0.25">
      <c r="A13" t="s">
        <v>225</v>
      </c>
      <c r="B13" t="s">
        <v>189</v>
      </c>
      <c r="C13">
        <f>ИТОГ!$C$8</f>
        <v>8.1744488152869188</v>
      </c>
    </row>
    <row r="14" spans="1:7" x14ac:dyDescent="0.25">
      <c r="A14" t="s">
        <v>191</v>
      </c>
      <c r="B14" t="s">
        <v>17</v>
      </c>
      <c r="C14" t="str">
        <f>ИТОГ!$C$9</f>
        <v>Нет в горизонте</v>
      </c>
    </row>
    <row r="16" spans="1:7" x14ac:dyDescent="0.25">
      <c r="A16" t="s">
        <v>226</v>
      </c>
    </row>
    <row r="17" spans="1:1" x14ac:dyDescent="0.25">
      <c r="A17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Параметры</vt:lpstr>
      <vt:lpstr>Денежные потоки</vt:lpstr>
      <vt:lpstr>ИТОГ</vt:lpstr>
      <vt:lpstr>Чувствительность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 Terentev</cp:lastModifiedBy>
  <dcterms:created xsi:type="dcterms:W3CDTF">2026-05-28T01:25:10Z</dcterms:created>
  <dcterms:modified xsi:type="dcterms:W3CDTF">2026-05-28T16:35:47Z</dcterms:modified>
</cp:coreProperties>
</file>