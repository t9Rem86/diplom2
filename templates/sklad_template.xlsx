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pGrade\Desktop\diplom2\templates\"/>
    </mc:Choice>
  </mc:AlternateContent>
  <xr:revisionPtr revIDLastSave="0" documentId="13_ncr:1_{F0C4DC5E-5B58-4EDC-B5D1-0D2C35C724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араметры" sheetId="1" r:id="rId1"/>
    <sheet name="Денежные потоки" sheetId="2" r:id="rId2"/>
    <sheet name="ИТОГ" sheetId="3" r:id="rId3"/>
    <sheet name="Чувствительност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2" l="1"/>
  <c r="C25" i="3"/>
  <c r="C10" i="3"/>
  <c r="C4" i="3"/>
  <c r="C3" i="3"/>
  <c r="C2" i="3"/>
  <c r="C122" i="2"/>
  <c r="G121" i="2"/>
  <c r="D121" i="2"/>
  <c r="G120" i="2"/>
  <c r="D120" i="2"/>
  <c r="E120" i="2" s="1"/>
  <c r="G119" i="2"/>
  <c r="D119" i="2"/>
  <c r="I118" i="2"/>
  <c r="G118" i="2"/>
  <c r="F118" i="2"/>
  <c r="E118" i="2"/>
  <c r="D118" i="2"/>
  <c r="G117" i="2"/>
  <c r="E117" i="2"/>
  <c r="I117" i="2" s="1"/>
  <c r="D117" i="2"/>
  <c r="F117" i="2" s="1"/>
  <c r="H117" i="2" s="1"/>
  <c r="G116" i="2"/>
  <c r="D116" i="2"/>
  <c r="I115" i="2"/>
  <c r="G115" i="2"/>
  <c r="E115" i="2"/>
  <c r="D115" i="2"/>
  <c r="F115" i="2" s="1"/>
  <c r="H115" i="2" s="1"/>
  <c r="G114" i="2"/>
  <c r="E114" i="2"/>
  <c r="I114" i="2" s="1"/>
  <c r="D114" i="2"/>
  <c r="G113" i="2"/>
  <c r="E113" i="2"/>
  <c r="D113" i="2"/>
  <c r="G112" i="2"/>
  <c r="D112" i="2"/>
  <c r="E112" i="2" s="1"/>
  <c r="G111" i="2"/>
  <c r="F111" i="2"/>
  <c r="H111" i="2" s="1"/>
  <c r="E111" i="2"/>
  <c r="D111" i="2"/>
  <c r="G110" i="2"/>
  <c r="D110" i="2"/>
  <c r="G109" i="2"/>
  <c r="D109" i="2"/>
  <c r="G108" i="2"/>
  <c r="D108" i="2"/>
  <c r="E108" i="2" s="1"/>
  <c r="G107" i="2"/>
  <c r="D107" i="2"/>
  <c r="I106" i="2"/>
  <c r="G106" i="2"/>
  <c r="F106" i="2"/>
  <c r="H106" i="2" s="1"/>
  <c r="E106" i="2"/>
  <c r="D106" i="2"/>
  <c r="G105" i="2"/>
  <c r="E105" i="2"/>
  <c r="I105" i="2" s="1"/>
  <c r="D105" i="2"/>
  <c r="F105" i="2" s="1"/>
  <c r="H105" i="2" s="1"/>
  <c r="G104" i="2"/>
  <c r="D104" i="2"/>
  <c r="I103" i="2"/>
  <c r="G103" i="2"/>
  <c r="E103" i="2"/>
  <c r="D103" i="2"/>
  <c r="F103" i="2" s="1"/>
  <c r="H103" i="2" s="1"/>
  <c r="G102" i="2"/>
  <c r="E102" i="2"/>
  <c r="I102" i="2" s="1"/>
  <c r="D102" i="2"/>
  <c r="H101" i="2"/>
  <c r="G101" i="2"/>
  <c r="F101" i="2"/>
  <c r="E101" i="2"/>
  <c r="D101" i="2"/>
  <c r="G100" i="2"/>
  <c r="D100" i="2"/>
  <c r="E100" i="2" s="1"/>
  <c r="G99" i="2"/>
  <c r="E99" i="2"/>
  <c r="D99" i="2"/>
  <c r="G98" i="2"/>
  <c r="D98" i="2"/>
  <c r="G97" i="2"/>
  <c r="D97" i="2"/>
  <c r="E97" i="2" s="1"/>
  <c r="I97" i="2" s="1"/>
  <c r="G96" i="2"/>
  <c r="D96" i="2"/>
  <c r="E96" i="2" s="1"/>
  <c r="G95" i="2"/>
  <c r="D95" i="2"/>
  <c r="I94" i="2"/>
  <c r="G94" i="2"/>
  <c r="F94" i="2"/>
  <c r="H94" i="2" s="1"/>
  <c r="E94" i="2"/>
  <c r="D94" i="2"/>
  <c r="G93" i="2"/>
  <c r="E93" i="2"/>
  <c r="I93" i="2" s="1"/>
  <c r="D93" i="2"/>
  <c r="G92" i="2"/>
  <c r="D92" i="2"/>
  <c r="I91" i="2"/>
  <c r="G91" i="2"/>
  <c r="E91" i="2"/>
  <c r="D91" i="2"/>
  <c r="F91" i="2" s="1"/>
  <c r="H91" i="2" s="1"/>
  <c r="G90" i="2"/>
  <c r="E90" i="2"/>
  <c r="D90" i="2"/>
  <c r="G89" i="2"/>
  <c r="E89" i="2"/>
  <c r="D89" i="2"/>
  <c r="G88" i="2"/>
  <c r="D88" i="2"/>
  <c r="E88" i="2" s="1"/>
  <c r="G87" i="2"/>
  <c r="E87" i="2"/>
  <c r="D87" i="2"/>
  <c r="G86" i="2"/>
  <c r="D86" i="2"/>
  <c r="G85" i="2"/>
  <c r="D85" i="2"/>
  <c r="E85" i="2" s="1"/>
  <c r="I84" i="2"/>
  <c r="G84" i="2"/>
  <c r="D84" i="2"/>
  <c r="E84" i="2" s="1"/>
  <c r="G83" i="2"/>
  <c r="D83" i="2"/>
  <c r="I82" i="2"/>
  <c r="G82" i="2"/>
  <c r="F82" i="2"/>
  <c r="E82" i="2"/>
  <c r="D82" i="2"/>
  <c r="G81" i="2"/>
  <c r="E81" i="2"/>
  <c r="I81" i="2" s="1"/>
  <c r="D81" i="2"/>
  <c r="F81" i="2" s="1"/>
  <c r="H81" i="2" s="1"/>
  <c r="G80" i="2"/>
  <c r="E80" i="2"/>
  <c r="D80" i="2"/>
  <c r="I79" i="2"/>
  <c r="G79" i="2"/>
  <c r="E79" i="2"/>
  <c r="D79" i="2"/>
  <c r="F79" i="2" s="1"/>
  <c r="H79" i="2" s="1"/>
  <c r="G78" i="2"/>
  <c r="E78" i="2"/>
  <c r="D78" i="2"/>
  <c r="G77" i="2"/>
  <c r="E77" i="2"/>
  <c r="D77" i="2"/>
  <c r="G76" i="2"/>
  <c r="F76" i="2"/>
  <c r="H76" i="2" s="1"/>
  <c r="D76" i="2"/>
  <c r="E76" i="2" s="1"/>
  <c r="I76" i="2" s="1"/>
  <c r="H75" i="2"/>
  <c r="G75" i="2"/>
  <c r="F75" i="2"/>
  <c r="E75" i="2"/>
  <c r="D75" i="2"/>
  <c r="G74" i="2"/>
  <c r="D74" i="2"/>
  <c r="I73" i="2"/>
  <c r="G73" i="2"/>
  <c r="F73" i="2"/>
  <c r="H73" i="2" s="1"/>
  <c r="D73" i="2"/>
  <c r="E73" i="2" s="1"/>
  <c r="G72" i="2"/>
  <c r="D72" i="2"/>
  <c r="E72" i="2" s="1"/>
  <c r="G71" i="2"/>
  <c r="E71" i="2"/>
  <c r="D71" i="2"/>
  <c r="G70" i="2"/>
  <c r="E70" i="2"/>
  <c r="D70" i="2"/>
  <c r="G69" i="2"/>
  <c r="E69" i="2"/>
  <c r="D69" i="2"/>
  <c r="H68" i="2"/>
  <c r="G68" i="2"/>
  <c r="F68" i="2"/>
  <c r="E68" i="2"/>
  <c r="D68" i="2"/>
  <c r="I67" i="2"/>
  <c r="H67" i="2"/>
  <c r="G67" i="2"/>
  <c r="E67" i="2"/>
  <c r="D67" i="2"/>
  <c r="F67" i="2" s="1"/>
  <c r="G66" i="2"/>
  <c r="E66" i="2"/>
  <c r="I66" i="2" s="1"/>
  <c r="D66" i="2"/>
  <c r="I65" i="2"/>
  <c r="H65" i="2"/>
  <c r="G65" i="2"/>
  <c r="F65" i="2"/>
  <c r="E65" i="2"/>
  <c r="D65" i="2"/>
  <c r="G64" i="2"/>
  <c r="E64" i="2"/>
  <c r="D64" i="2"/>
  <c r="G63" i="2"/>
  <c r="D63" i="2"/>
  <c r="E63" i="2" s="1"/>
  <c r="G62" i="2"/>
  <c r="D62" i="2"/>
  <c r="E62" i="2" s="1"/>
  <c r="G61" i="2"/>
  <c r="E61" i="2"/>
  <c r="D61" i="2"/>
  <c r="G60" i="2"/>
  <c r="F60" i="2"/>
  <c r="H60" i="2" s="1"/>
  <c r="D60" i="2"/>
  <c r="E60" i="2" s="1"/>
  <c r="G59" i="2"/>
  <c r="E59" i="2"/>
  <c r="D59" i="2"/>
  <c r="G58" i="2"/>
  <c r="D58" i="2"/>
  <c r="E58" i="2" s="1"/>
  <c r="G57" i="2"/>
  <c r="D57" i="2"/>
  <c r="G56" i="2"/>
  <c r="D56" i="2"/>
  <c r="I55" i="2"/>
  <c r="G55" i="2"/>
  <c r="H55" i="2" s="1"/>
  <c r="F55" i="2"/>
  <c r="E55" i="2"/>
  <c r="D55" i="2"/>
  <c r="G54" i="2"/>
  <c r="F54" i="2"/>
  <c r="H54" i="2" s="1"/>
  <c r="D54" i="2"/>
  <c r="E54" i="2" s="1"/>
  <c r="I54" i="2" s="1"/>
  <c r="G53" i="2"/>
  <c r="E53" i="2"/>
  <c r="D53" i="2"/>
  <c r="G52" i="2"/>
  <c r="D52" i="2"/>
  <c r="G51" i="2"/>
  <c r="E51" i="2"/>
  <c r="D51" i="2"/>
  <c r="G50" i="2"/>
  <c r="D50" i="2"/>
  <c r="E50" i="2" s="1"/>
  <c r="G49" i="2"/>
  <c r="E49" i="2"/>
  <c r="I49" i="2" s="1"/>
  <c r="D49" i="2"/>
  <c r="H48" i="2"/>
  <c r="G48" i="2"/>
  <c r="F48" i="2"/>
  <c r="E48" i="2"/>
  <c r="I48" i="2" s="1"/>
  <c r="D48" i="2"/>
  <c r="G47" i="2"/>
  <c r="E47" i="2"/>
  <c r="D47" i="2"/>
  <c r="G46" i="2"/>
  <c r="D46" i="2"/>
  <c r="E46" i="2" s="1"/>
  <c r="G45" i="2"/>
  <c r="D45" i="2"/>
  <c r="G44" i="2"/>
  <c r="D44" i="2"/>
  <c r="I43" i="2"/>
  <c r="G43" i="2"/>
  <c r="H43" i="2" s="1"/>
  <c r="F43" i="2"/>
  <c r="E43" i="2"/>
  <c r="D43" i="2"/>
  <c r="G42" i="2"/>
  <c r="D42" i="2"/>
  <c r="E42" i="2" s="1"/>
  <c r="I42" i="2" s="1"/>
  <c r="G41" i="2"/>
  <c r="E41" i="2"/>
  <c r="D41" i="2"/>
  <c r="G40" i="2"/>
  <c r="D40" i="2"/>
  <c r="I39" i="2"/>
  <c r="G39" i="2"/>
  <c r="E39" i="2"/>
  <c r="D39" i="2"/>
  <c r="F39" i="2" s="1"/>
  <c r="H39" i="2" s="1"/>
  <c r="G38" i="2"/>
  <c r="D38" i="2"/>
  <c r="E38" i="2" s="1"/>
  <c r="G37" i="2"/>
  <c r="E37" i="2"/>
  <c r="D37" i="2"/>
  <c r="G36" i="2"/>
  <c r="F36" i="2"/>
  <c r="H36" i="2" s="1"/>
  <c r="E36" i="2"/>
  <c r="I36" i="2" s="1"/>
  <c r="D36" i="2"/>
  <c r="G35" i="2"/>
  <c r="E35" i="2"/>
  <c r="D35" i="2"/>
  <c r="G34" i="2"/>
  <c r="D34" i="2"/>
  <c r="E34" i="2" s="1"/>
  <c r="G33" i="2"/>
  <c r="D33" i="2"/>
  <c r="G32" i="2"/>
  <c r="F32" i="2"/>
  <c r="H32" i="2" s="1"/>
  <c r="D32" i="2"/>
  <c r="E32" i="2" s="1"/>
  <c r="I31" i="2"/>
  <c r="H31" i="2"/>
  <c r="G31" i="2"/>
  <c r="F31" i="2"/>
  <c r="E31" i="2"/>
  <c r="D31" i="2"/>
  <c r="G30" i="2"/>
  <c r="D30" i="2"/>
  <c r="E30" i="2" s="1"/>
  <c r="I30" i="2" s="1"/>
  <c r="I29" i="2"/>
  <c r="G29" i="2"/>
  <c r="E29" i="2"/>
  <c r="D29" i="2"/>
  <c r="G28" i="2"/>
  <c r="D28" i="2"/>
  <c r="G27" i="2"/>
  <c r="D27" i="2"/>
  <c r="I26" i="2"/>
  <c r="G26" i="2"/>
  <c r="H26" i="2" s="1"/>
  <c r="D26" i="2"/>
  <c r="E26" i="2" s="1"/>
  <c r="F26" i="2" s="1"/>
  <c r="G25" i="2"/>
  <c r="E25" i="2"/>
  <c r="D25" i="2"/>
  <c r="G24" i="2"/>
  <c r="F24" i="2"/>
  <c r="H24" i="2" s="1"/>
  <c r="E24" i="2"/>
  <c r="I24" i="2" s="1"/>
  <c r="D24" i="2"/>
  <c r="G23" i="2"/>
  <c r="E23" i="2"/>
  <c r="D23" i="2"/>
  <c r="G22" i="2"/>
  <c r="D22" i="2"/>
  <c r="E22" i="2" s="1"/>
  <c r="G21" i="2"/>
  <c r="D21" i="2"/>
  <c r="G20" i="2"/>
  <c r="F20" i="2"/>
  <c r="H20" i="2" s="1"/>
  <c r="D20" i="2"/>
  <c r="E20" i="2" s="1"/>
  <c r="G19" i="2"/>
  <c r="F19" i="2"/>
  <c r="H19" i="2" s="1"/>
  <c r="E19" i="2"/>
  <c r="D19" i="2"/>
  <c r="G18" i="2"/>
  <c r="E18" i="2"/>
  <c r="I18" i="2" s="1"/>
  <c r="D18" i="2"/>
  <c r="G17" i="2"/>
  <c r="D17" i="2"/>
  <c r="E17" i="2" s="1"/>
  <c r="G16" i="2"/>
  <c r="D16" i="2"/>
  <c r="G15" i="2"/>
  <c r="E15" i="2"/>
  <c r="D15" i="2"/>
  <c r="G14" i="2"/>
  <c r="D14" i="2"/>
  <c r="E14" i="2" s="1"/>
  <c r="G13" i="2"/>
  <c r="D13" i="2"/>
  <c r="E13" i="2" s="1"/>
  <c r="G12" i="2"/>
  <c r="E12" i="2"/>
  <c r="I12" i="2" s="1"/>
  <c r="D12" i="2"/>
  <c r="F12" i="2" s="1"/>
  <c r="H12" i="2" s="1"/>
  <c r="I11" i="2"/>
  <c r="G11" i="2"/>
  <c r="E11" i="2"/>
  <c r="F11" i="2" s="1"/>
  <c r="H11" i="2" s="1"/>
  <c r="D11" i="2"/>
  <c r="G10" i="2"/>
  <c r="E10" i="2"/>
  <c r="D10" i="2"/>
  <c r="F10" i="2" s="1"/>
  <c r="H10" i="2" s="1"/>
  <c r="E9" i="2"/>
  <c r="I9" i="2" s="1"/>
  <c r="D9" i="2"/>
  <c r="F9" i="2" s="1"/>
  <c r="E8" i="2"/>
  <c r="Q7" i="2"/>
  <c r="Q6" i="2"/>
  <c r="Q5" i="2"/>
  <c r="Q4" i="2"/>
  <c r="Q3" i="2"/>
  <c r="Q2" i="2"/>
  <c r="C28" i="1"/>
  <c r="G9" i="2" s="1"/>
  <c r="C26" i="1"/>
  <c r="C25" i="1"/>
  <c r="C24" i="1"/>
  <c r="C23" i="1"/>
  <c r="C22" i="1"/>
  <c r="C24" i="3" s="1"/>
  <c r="C20" i="1"/>
  <c r="I17" i="2" l="1"/>
  <c r="F17" i="2"/>
  <c r="H17" i="2" s="1"/>
  <c r="I22" i="2"/>
  <c r="F22" i="2"/>
  <c r="H22" i="2" s="1"/>
  <c r="I34" i="2"/>
  <c r="F34" i="2"/>
  <c r="H34" i="2" s="1"/>
  <c r="H9" i="2"/>
  <c r="F13" i="2"/>
  <c r="H13" i="2" s="1"/>
  <c r="I13" i="2"/>
  <c r="I69" i="2"/>
  <c r="K97" i="2"/>
  <c r="K73" i="2"/>
  <c r="K82" i="2"/>
  <c r="K113" i="2"/>
  <c r="K112" i="2"/>
  <c r="K88" i="2"/>
  <c r="K44" i="2"/>
  <c r="K20" i="2"/>
  <c r="K98" i="2"/>
  <c r="K48" i="2"/>
  <c r="K50" i="2"/>
  <c r="K26" i="2"/>
  <c r="K87" i="2"/>
  <c r="K49" i="2"/>
  <c r="R2" i="2"/>
  <c r="T7" i="2"/>
  <c r="E21" i="2"/>
  <c r="E98" i="2"/>
  <c r="R6" i="2"/>
  <c r="C21" i="1"/>
  <c r="T2" i="2"/>
  <c r="F18" i="2"/>
  <c r="H18" i="2" s="1"/>
  <c r="E27" i="2"/>
  <c r="K28" i="2"/>
  <c r="I59" i="2"/>
  <c r="F59" i="2"/>
  <c r="H59" i="2" s="1"/>
  <c r="I88" i="2"/>
  <c r="F88" i="2"/>
  <c r="H88" i="2" s="1"/>
  <c r="R4" i="2"/>
  <c r="C23" i="3"/>
  <c r="T4" i="2"/>
  <c r="M4" i="2" s="1"/>
  <c r="D122" i="2"/>
  <c r="C12" i="3"/>
  <c r="F30" i="2"/>
  <c r="H30" i="2" s="1"/>
  <c r="T6" i="2"/>
  <c r="M6" i="2" s="1"/>
  <c r="F8" i="2"/>
  <c r="F14" i="2"/>
  <c r="H14" i="2" s="1"/>
  <c r="I19" i="2"/>
  <c r="I20" i="2"/>
  <c r="F51" i="2"/>
  <c r="H51" i="2" s="1"/>
  <c r="I53" i="2"/>
  <c r="F53" i="2"/>
  <c r="H53" i="2" s="1"/>
  <c r="G8" i="2"/>
  <c r="I10" i="2"/>
  <c r="K41" i="2"/>
  <c r="K57" i="2"/>
  <c r="I63" i="2"/>
  <c r="F63" i="2"/>
  <c r="H63" i="2" s="1"/>
  <c r="I96" i="2"/>
  <c r="I100" i="2"/>
  <c r="F100" i="2"/>
  <c r="H100" i="2" s="1"/>
  <c r="C27" i="1"/>
  <c r="K102" i="2" s="1"/>
  <c r="R3" i="2"/>
  <c r="F15" i="2"/>
  <c r="H15" i="2" s="1"/>
  <c r="I25" i="2"/>
  <c r="F25" i="2"/>
  <c r="H25" i="2" s="1"/>
  <c r="F29" i="2"/>
  <c r="H29" i="2" s="1"/>
  <c r="K45" i="2"/>
  <c r="K53" i="2"/>
  <c r="T3" i="2"/>
  <c r="M3" i="2" s="1"/>
  <c r="I8" i="2"/>
  <c r="K10" i="2"/>
  <c r="I14" i="2"/>
  <c r="I32" i="2"/>
  <c r="I51" i="2"/>
  <c r="I58" i="2"/>
  <c r="F58" i="2"/>
  <c r="H58" i="2" s="1"/>
  <c r="K67" i="2"/>
  <c r="I70" i="2"/>
  <c r="F70" i="2"/>
  <c r="H70" i="2" s="1"/>
  <c r="K86" i="2"/>
  <c r="R5" i="2"/>
  <c r="F16" i="2"/>
  <c r="H16" i="2" s="1"/>
  <c r="F28" i="2"/>
  <c r="H28" i="2" s="1"/>
  <c r="E28" i="2"/>
  <c r="K33" i="2"/>
  <c r="I46" i="2"/>
  <c r="I41" i="2"/>
  <c r="F41" i="2"/>
  <c r="H41" i="2" s="1"/>
  <c r="T5" i="2"/>
  <c r="M5" i="2" s="1"/>
  <c r="N5" i="2" s="1"/>
  <c r="K8" i="2"/>
  <c r="K14" i="2"/>
  <c r="E16" i="2"/>
  <c r="K29" i="2"/>
  <c r="I38" i="2"/>
  <c r="F38" i="2"/>
  <c r="H38" i="2" s="1"/>
  <c r="E40" i="2"/>
  <c r="F42" i="2"/>
  <c r="H42" i="2" s="1"/>
  <c r="F44" i="2"/>
  <c r="H44" i="2" s="1"/>
  <c r="E44" i="2"/>
  <c r="F46" i="2"/>
  <c r="H46" i="2" s="1"/>
  <c r="I37" i="2"/>
  <c r="F37" i="2"/>
  <c r="H37" i="2" s="1"/>
  <c r="F47" i="2"/>
  <c r="H47" i="2" s="1"/>
  <c r="I47" i="2"/>
  <c r="Q122" i="2"/>
  <c r="U5" i="2"/>
  <c r="R7" i="2"/>
  <c r="K11" i="2"/>
  <c r="I15" i="2"/>
  <c r="F23" i="2"/>
  <c r="H23" i="2" s="1"/>
  <c r="I23" i="2"/>
  <c r="F35" i="2"/>
  <c r="H35" i="2" s="1"/>
  <c r="I35" i="2"/>
  <c r="I50" i="2"/>
  <c r="F52" i="2"/>
  <c r="H52" i="2" s="1"/>
  <c r="E52" i="2"/>
  <c r="F56" i="2"/>
  <c r="H56" i="2" s="1"/>
  <c r="E56" i="2"/>
  <c r="I64" i="2"/>
  <c r="F64" i="2"/>
  <c r="H64" i="2" s="1"/>
  <c r="I71" i="2"/>
  <c r="F50" i="2"/>
  <c r="H50" i="2" s="1"/>
  <c r="I62" i="2"/>
  <c r="F71" i="2"/>
  <c r="H71" i="2" s="1"/>
  <c r="F86" i="2"/>
  <c r="H86" i="2" s="1"/>
  <c r="E86" i="2"/>
  <c r="F69" i="2"/>
  <c r="H69" i="2" s="1"/>
  <c r="I68" i="2"/>
  <c r="I75" i="2"/>
  <c r="I78" i="2"/>
  <c r="F78" i="2"/>
  <c r="H78" i="2" s="1"/>
  <c r="F83" i="2"/>
  <c r="H83" i="2" s="1"/>
  <c r="E83" i="2"/>
  <c r="F93" i="2"/>
  <c r="H93" i="2" s="1"/>
  <c r="I111" i="2"/>
  <c r="F104" i="2"/>
  <c r="H104" i="2" s="1"/>
  <c r="I108" i="2"/>
  <c r="F116" i="2"/>
  <c r="H116" i="2" s="1"/>
  <c r="H118" i="2"/>
  <c r="I120" i="2"/>
  <c r="F49" i="2"/>
  <c r="H49" i="2" s="1"/>
  <c r="I60" i="2"/>
  <c r="F61" i="2"/>
  <c r="H61" i="2" s="1"/>
  <c r="F80" i="2"/>
  <c r="H80" i="2" s="1"/>
  <c r="F85" i="2"/>
  <c r="H85" i="2" s="1"/>
  <c r="E104" i="2"/>
  <c r="E116" i="2"/>
  <c r="I80" i="2"/>
  <c r="I87" i="2"/>
  <c r="I90" i="2"/>
  <c r="F90" i="2"/>
  <c r="H90" i="2" s="1"/>
  <c r="E95" i="2"/>
  <c r="F109" i="2"/>
  <c r="H109" i="2" s="1"/>
  <c r="E109" i="2"/>
  <c r="E121" i="2"/>
  <c r="E57" i="2"/>
  <c r="F57" i="2" s="1"/>
  <c r="H57" i="2" s="1"/>
  <c r="F62" i="2"/>
  <c r="H62" i="2" s="1"/>
  <c r="F66" i="2"/>
  <c r="H66" i="2" s="1"/>
  <c r="I85" i="2"/>
  <c r="F87" i="2"/>
  <c r="H87" i="2" s="1"/>
  <c r="E33" i="2"/>
  <c r="E45" i="2"/>
  <c r="I61" i="2"/>
  <c r="F74" i="2"/>
  <c r="H74" i="2" s="1"/>
  <c r="E74" i="2"/>
  <c r="F92" i="2"/>
  <c r="H92" i="2" s="1"/>
  <c r="F97" i="2"/>
  <c r="H97" i="2" s="1"/>
  <c r="I99" i="2"/>
  <c r="I112" i="2"/>
  <c r="F112" i="2"/>
  <c r="H112" i="2" s="1"/>
  <c r="I72" i="2"/>
  <c r="H82" i="2"/>
  <c r="E92" i="2"/>
  <c r="F99" i="2"/>
  <c r="H99" i="2" s="1"/>
  <c r="F119" i="2"/>
  <c r="H119" i="2" s="1"/>
  <c r="F72" i="2"/>
  <c r="H72" i="2" s="1"/>
  <c r="F84" i="2"/>
  <c r="H84" i="2" s="1"/>
  <c r="F96" i="2"/>
  <c r="H96" i="2" s="1"/>
  <c r="F108" i="2"/>
  <c r="H108" i="2" s="1"/>
  <c r="F120" i="2"/>
  <c r="H120" i="2" s="1"/>
  <c r="F77" i="2"/>
  <c r="H77" i="2" s="1"/>
  <c r="F89" i="2"/>
  <c r="H89" i="2" s="1"/>
  <c r="F113" i="2"/>
  <c r="H113" i="2" s="1"/>
  <c r="I77" i="2"/>
  <c r="I89" i="2"/>
  <c r="I101" i="2"/>
  <c r="I113" i="2"/>
  <c r="F102" i="2"/>
  <c r="H102" i="2" s="1"/>
  <c r="E107" i="2"/>
  <c r="F107" i="2" s="1"/>
  <c r="H107" i="2" s="1"/>
  <c r="F114" i="2"/>
  <c r="H114" i="2" s="1"/>
  <c r="E119" i="2"/>
  <c r="E110" i="2"/>
  <c r="F110" i="2" s="1"/>
  <c r="H110" i="2" s="1"/>
  <c r="L69" i="2" l="1"/>
  <c r="L13" i="2"/>
  <c r="L80" i="2"/>
  <c r="L41" i="2"/>
  <c r="L14" i="2"/>
  <c r="I121" i="2"/>
  <c r="N6" i="2"/>
  <c r="U6" i="2"/>
  <c r="I16" i="2"/>
  <c r="L16" i="2" s="1"/>
  <c r="K25" i="2"/>
  <c r="K84" i="2"/>
  <c r="K24" i="2"/>
  <c r="K39" i="2"/>
  <c r="K119" i="2"/>
  <c r="K89" i="2"/>
  <c r="K104" i="2"/>
  <c r="I74" i="2"/>
  <c r="L74" i="2" s="1"/>
  <c r="I57" i="2"/>
  <c r="I56" i="2"/>
  <c r="I28" i="2"/>
  <c r="H8" i="2"/>
  <c r="U4" i="2"/>
  <c r="N4" i="2"/>
  <c r="K35" i="2"/>
  <c r="K37" i="2"/>
  <c r="K110" i="2"/>
  <c r="K36" i="2"/>
  <c r="K51" i="2"/>
  <c r="K76" i="2"/>
  <c r="K101" i="2"/>
  <c r="K116" i="2"/>
  <c r="I98" i="2"/>
  <c r="L98" i="2" s="1"/>
  <c r="I92" i="2"/>
  <c r="F121" i="2"/>
  <c r="H121" i="2" s="1"/>
  <c r="I52" i="2"/>
  <c r="L52" i="2" s="1"/>
  <c r="I44" i="2"/>
  <c r="K19" i="2"/>
  <c r="K117" i="2"/>
  <c r="I27" i="2"/>
  <c r="L27" i="2" s="1"/>
  <c r="F98" i="2"/>
  <c r="H98" i="2" s="1"/>
  <c r="K72" i="2"/>
  <c r="K38" i="2"/>
  <c r="K64" i="2"/>
  <c r="K32" i="2"/>
  <c r="K100" i="2"/>
  <c r="K70" i="2"/>
  <c r="K85" i="2"/>
  <c r="I119" i="2"/>
  <c r="I33" i="2"/>
  <c r="L33" i="2" s="1"/>
  <c r="L109" i="2"/>
  <c r="I109" i="2"/>
  <c r="I116" i="2"/>
  <c r="U3" i="2"/>
  <c r="N3" i="2"/>
  <c r="K13" i="2"/>
  <c r="F33" i="2"/>
  <c r="H33" i="2" s="1"/>
  <c r="F27" i="2"/>
  <c r="H27" i="2" s="1"/>
  <c r="K30" i="2"/>
  <c r="K58" i="2"/>
  <c r="K69" i="2"/>
  <c r="K56" i="2"/>
  <c r="K79" i="2"/>
  <c r="K94" i="2"/>
  <c r="K109" i="2"/>
  <c r="I104" i="2"/>
  <c r="L104" i="2" s="1"/>
  <c r="I40" i="2"/>
  <c r="C13" i="3"/>
  <c r="I21" i="2"/>
  <c r="I122" i="2" s="1"/>
  <c r="K42" i="2"/>
  <c r="K63" i="2"/>
  <c r="K93" i="2"/>
  <c r="K61" i="2"/>
  <c r="K91" i="2"/>
  <c r="K106" i="2"/>
  <c r="K121" i="2"/>
  <c r="I107" i="2"/>
  <c r="L107" i="2" s="1"/>
  <c r="I95" i="2"/>
  <c r="L95" i="2" s="1"/>
  <c r="F40" i="2"/>
  <c r="H40" i="2" s="1"/>
  <c r="E122" i="2"/>
  <c r="C19" i="3"/>
  <c r="G122" i="2"/>
  <c r="K21" i="2"/>
  <c r="F21" i="2"/>
  <c r="H21" i="2" s="1"/>
  <c r="K54" i="2"/>
  <c r="K81" i="2"/>
  <c r="K34" i="2"/>
  <c r="K65" i="2"/>
  <c r="K103" i="2"/>
  <c r="K118" i="2"/>
  <c r="K66" i="2"/>
  <c r="I45" i="2"/>
  <c r="L45" i="2" s="1"/>
  <c r="F45" i="2"/>
  <c r="H45" i="2" s="1"/>
  <c r="F95" i="2"/>
  <c r="H95" i="2" s="1"/>
  <c r="K16" i="2"/>
  <c r="K15" i="2"/>
  <c r="K74" i="2"/>
  <c r="K43" i="2"/>
  <c r="K46" i="2"/>
  <c r="K71" i="2"/>
  <c r="K115" i="2"/>
  <c r="K111" i="2"/>
  <c r="K78" i="2"/>
  <c r="K12" i="2"/>
  <c r="K99" i="2"/>
  <c r="K55" i="2"/>
  <c r="K60" i="2"/>
  <c r="K83" i="2"/>
  <c r="K108" i="2"/>
  <c r="K68" i="2"/>
  <c r="K90" i="2"/>
  <c r="I110" i="2"/>
  <c r="L110" i="2" s="1"/>
  <c r="I83" i="2"/>
  <c r="K9" i="2"/>
  <c r="C20" i="3" s="1"/>
  <c r="M2" i="2"/>
  <c r="M7" i="2"/>
  <c r="T8" i="2"/>
  <c r="M8" i="2"/>
  <c r="S8" i="2" s="1"/>
  <c r="K40" i="2"/>
  <c r="K59" i="2"/>
  <c r="K75" i="2"/>
  <c r="K95" i="2"/>
  <c r="K120" i="2"/>
  <c r="K80" i="2"/>
  <c r="I86" i="2"/>
  <c r="L86" i="2" s="1"/>
  <c r="J119" i="2"/>
  <c r="L119" i="2" s="1"/>
  <c r="J107" i="2"/>
  <c r="J95" i="2"/>
  <c r="J83" i="2"/>
  <c r="L83" i="2" s="1"/>
  <c r="J71" i="2"/>
  <c r="L71" i="2" s="1"/>
  <c r="J59" i="2"/>
  <c r="L59" i="2" s="1"/>
  <c r="J114" i="2"/>
  <c r="L114" i="2" s="1"/>
  <c r="J102" i="2"/>
  <c r="L102" i="2" s="1"/>
  <c r="J90" i="2"/>
  <c r="J78" i="2"/>
  <c r="L78" i="2" s="1"/>
  <c r="J121" i="2"/>
  <c r="L121" i="2" s="1"/>
  <c r="J109" i="2"/>
  <c r="J97" i="2"/>
  <c r="L97" i="2" s="1"/>
  <c r="J85" i="2"/>
  <c r="L85" i="2" s="1"/>
  <c r="J73" i="2"/>
  <c r="L73" i="2" s="1"/>
  <c r="J61" i="2"/>
  <c r="L61" i="2" s="1"/>
  <c r="J116" i="2"/>
  <c r="L116" i="2" s="1"/>
  <c r="J104" i="2"/>
  <c r="J111" i="2"/>
  <c r="L111" i="2" s="1"/>
  <c r="J99" i="2"/>
  <c r="L99" i="2" s="1"/>
  <c r="J87" i="2"/>
  <c r="L87" i="2" s="1"/>
  <c r="J75" i="2"/>
  <c r="J118" i="2"/>
  <c r="L118" i="2" s="1"/>
  <c r="J106" i="2"/>
  <c r="L106" i="2" s="1"/>
  <c r="J94" i="2"/>
  <c r="L94" i="2" s="1"/>
  <c r="J82" i="2"/>
  <c r="L82" i="2" s="1"/>
  <c r="J113" i="2"/>
  <c r="L113" i="2" s="1"/>
  <c r="J101" i="2"/>
  <c r="L101" i="2" s="1"/>
  <c r="J120" i="2"/>
  <c r="L120" i="2" s="1"/>
  <c r="J108" i="2"/>
  <c r="L108" i="2" s="1"/>
  <c r="J96" i="2"/>
  <c r="L96" i="2" s="1"/>
  <c r="J84" i="2"/>
  <c r="L84" i="2" s="1"/>
  <c r="J72" i="2"/>
  <c r="L72" i="2" s="1"/>
  <c r="J117" i="2"/>
  <c r="L117" i="2" s="1"/>
  <c r="J105" i="2"/>
  <c r="J93" i="2"/>
  <c r="L93" i="2" s="1"/>
  <c r="J81" i="2"/>
  <c r="L81" i="2" s="1"/>
  <c r="J112" i="2"/>
  <c r="L112" i="2" s="1"/>
  <c r="J100" i="2"/>
  <c r="L100" i="2" s="1"/>
  <c r="J88" i="2"/>
  <c r="L88" i="2" s="1"/>
  <c r="J76" i="2"/>
  <c r="L76" i="2" s="1"/>
  <c r="J49" i="2"/>
  <c r="L49" i="2" s="1"/>
  <c r="J37" i="2"/>
  <c r="L37" i="2" s="1"/>
  <c r="J25" i="2"/>
  <c r="L25" i="2" s="1"/>
  <c r="J13" i="2"/>
  <c r="J80" i="2"/>
  <c r="J65" i="2"/>
  <c r="J56" i="2"/>
  <c r="L56" i="2" s="1"/>
  <c r="J44" i="2"/>
  <c r="L44" i="2" s="1"/>
  <c r="J32" i="2"/>
  <c r="L32" i="2" s="1"/>
  <c r="J20" i="2"/>
  <c r="L20" i="2" s="1"/>
  <c r="J51" i="2"/>
  <c r="L51" i="2" s="1"/>
  <c r="J39" i="2"/>
  <c r="L39" i="2" s="1"/>
  <c r="J27" i="2"/>
  <c r="J70" i="2"/>
  <c r="L70" i="2" s="1"/>
  <c r="J60" i="2"/>
  <c r="L60" i="2" s="1"/>
  <c r="J91" i="2"/>
  <c r="L91" i="2" s="1"/>
  <c r="J69" i="2"/>
  <c r="J53" i="2"/>
  <c r="L53" i="2" s="1"/>
  <c r="J41" i="2"/>
  <c r="J29" i="2"/>
  <c r="L29" i="2" s="1"/>
  <c r="J98" i="2"/>
  <c r="J68" i="2"/>
  <c r="L68" i="2" s="1"/>
  <c r="J64" i="2"/>
  <c r="L64" i="2" s="1"/>
  <c r="J48" i="2"/>
  <c r="L48" i="2" s="1"/>
  <c r="J115" i="2"/>
  <c r="J103" i="2"/>
  <c r="L103" i="2" s="1"/>
  <c r="J55" i="2"/>
  <c r="L55" i="2" s="1"/>
  <c r="J43" i="2"/>
  <c r="J31" i="2"/>
  <c r="J19" i="2"/>
  <c r="L19" i="2" s="1"/>
  <c r="J89" i="2"/>
  <c r="L89" i="2" s="1"/>
  <c r="J86" i="2"/>
  <c r="J67" i="2"/>
  <c r="L67" i="2" s="1"/>
  <c r="J45" i="2"/>
  <c r="J92" i="2"/>
  <c r="L92" i="2" s="1"/>
  <c r="J62" i="2"/>
  <c r="J57" i="2"/>
  <c r="L57" i="2" s="1"/>
  <c r="J47" i="2"/>
  <c r="L47" i="2" s="1"/>
  <c r="J35" i="2"/>
  <c r="L35" i="2" s="1"/>
  <c r="J77" i="2"/>
  <c r="L77" i="2" s="1"/>
  <c r="J74" i="2"/>
  <c r="J66" i="2"/>
  <c r="J54" i="2"/>
  <c r="L54" i="2" s="1"/>
  <c r="J42" i="2"/>
  <c r="L42" i="2" s="1"/>
  <c r="J30" i="2"/>
  <c r="L30" i="2" s="1"/>
  <c r="J58" i="2"/>
  <c r="L58" i="2" s="1"/>
  <c r="J36" i="2"/>
  <c r="L36" i="2" s="1"/>
  <c r="K22" i="2"/>
  <c r="K23" i="2"/>
  <c r="J11" i="2"/>
  <c r="L11" i="2" s="1"/>
  <c r="J63" i="2"/>
  <c r="L63" i="2" s="1"/>
  <c r="J14" i="2"/>
  <c r="J8" i="2"/>
  <c r="J79" i="2"/>
  <c r="J33" i="2"/>
  <c r="K62" i="2"/>
  <c r="K17" i="2"/>
  <c r="J26" i="2"/>
  <c r="L26" i="2" s="1"/>
  <c r="J10" i="2"/>
  <c r="L10" i="2" s="1"/>
  <c r="J110" i="2"/>
  <c r="J34" i="2"/>
  <c r="L34" i="2" s="1"/>
  <c r="J12" i="2"/>
  <c r="L12" i="2" s="1"/>
  <c r="J22" i="2"/>
  <c r="J18" i="2"/>
  <c r="J17" i="2"/>
  <c r="L17" i="2" s="1"/>
  <c r="K105" i="2"/>
  <c r="J50" i="2"/>
  <c r="L50" i="2" s="1"/>
  <c r="J16" i="2"/>
  <c r="J52" i="2"/>
  <c r="J38" i="2"/>
  <c r="L38" i="2" s="1"/>
  <c r="J23" i="2"/>
  <c r="L23" i="2" s="1"/>
  <c r="K31" i="2"/>
  <c r="J21" i="2"/>
  <c r="J9" i="2"/>
  <c r="L9" i="2" s="1"/>
  <c r="J46" i="2"/>
  <c r="L46" i="2" s="1"/>
  <c r="J40" i="2"/>
  <c r="L40" i="2" s="1"/>
  <c r="J28" i="2"/>
  <c r="L28" i="2" s="1"/>
  <c r="J24" i="2"/>
  <c r="L24" i="2" s="1"/>
  <c r="J15" i="2"/>
  <c r="L15" i="2" s="1"/>
  <c r="K18" i="2"/>
  <c r="K47" i="2"/>
  <c r="R122" i="2"/>
  <c r="K52" i="2"/>
  <c r="K96" i="2"/>
  <c r="K27" i="2"/>
  <c r="K107" i="2"/>
  <c r="K77" i="2"/>
  <c r="K92" i="2"/>
  <c r="K114" i="2"/>
  <c r="C14" i="3" l="1"/>
  <c r="L115" i="2"/>
  <c r="L62" i="2"/>
  <c r="N7" i="2"/>
  <c r="U7" i="2"/>
  <c r="L21" i="2"/>
  <c r="F122" i="2"/>
  <c r="M9" i="2"/>
  <c r="S9" i="2" s="1"/>
  <c r="T9" i="2" s="1"/>
  <c r="C18" i="3"/>
  <c r="H122" i="2"/>
  <c r="N2" i="2"/>
  <c r="U2" i="2"/>
  <c r="K122" i="2"/>
  <c r="L79" i="2"/>
  <c r="L66" i="2"/>
  <c r="L65" i="2"/>
  <c r="L105" i="2"/>
  <c r="J122" i="2"/>
  <c r="L8" i="2"/>
  <c r="L31" i="2"/>
  <c r="L75" i="2"/>
  <c r="N9" i="2"/>
  <c r="L18" i="2"/>
  <c r="L43" i="2"/>
  <c r="L90" i="2"/>
  <c r="L22" i="2"/>
  <c r="M10" i="2" l="1"/>
  <c r="V2" i="2"/>
  <c r="O9" i="2"/>
  <c r="P9" i="2" s="1"/>
  <c r="U9" i="2" s="1"/>
  <c r="L122" i="2"/>
  <c r="N8" i="2"/>
  <c r="V3" i="2" l="1"/>
  <c r="V4" i="2" s="1"/>
  <c r="V5" i="2" s="1"/>
  <c r="V6" i="2" s="1"/>
  <c r="V7" i="2" s="1"/>
  <c r="O8" i="2"/>
  <c r="P8" i="2" s="1"/>
  <c r="S10" i="2"/>
  <c r="N10" i="2"/>
  <c r="U8" i="2" l="1"/>
  <c r="O10" i="2"/>
  <c r="P10" i="2" s="1"/>
  <c r="T10" i="2"/>
  <c r="V8" i="2"/>
  <c r="U10" i="2" l="1"/>
  <c r="M11" i="2"/>
  <c r="V9" i="2"/>
  <c r="V10" i="2" l="1"/>
  <c r="S11" i="2"/>
  <c r="N11" i="2"/>
  <c r="O11" i="2" l="1"/>
  <c r="T11" i="2"/>
  <c r="M12" i="2" l="1"/>
  <c r="P11" i="2"/>
  <c r="S12" i="2" l="1"/>
  <c r="T12" i="2" s="1"/>
  <c r="N12" i="2"/>
  <c r="U11" i="2"/>
  <c r="O12" i="2" l="1"/>
  <c r="P12" i="2" s="1"/>
  <c r="V11" i="2"/>
  <c r="M13" i="2"/>
  <c r="U12" i="2" l="1"/>
  <c r="S13" i="2"/>
  <c r="T13" i="2" s="1"/>
  <c r="N13" i="2"/>
  <c r="V12" i="2"/>
  <c r="O13" i="2" l="1"/>
  <c r="M14" i="2"/>
  <c r="S14" i="2" l="1"/>
  <c r="T14" i="2" s="1"/>
  <c r="N14" i="2"/>
  <c r="P13" i="2"/>
  <c r="M15" i="2" l="1"/>
  <c r="U13" i="2"/>
  <c r="O14" i="2"/>
  <c r="P14" i="2" s="1"/>
  <c r="U14" i="2" s="1"/>
  <c r="S15" i="2" l="1"/>
  <c r="T15" i="2" s="1"/>
  <c r="N15" i="2"/>
  <c r="V13" i="2"/>
  <c r="O15" i="2" l="1"/>
  <c r="P15" i="2" s="1"/>
  <c r="U15" i="2" s="1"/>
  <c r="V14" i="2"/>
  <c r="M16" i="2"/>
  <c r="V15" i="2" l="1"/>
  <c r="S16" i="2"/>
  <c r="T16" i="2" s="1"/>
  <c r="N16" i="2"/>
  <c r="M17" i="2" l="1"/>
  <c r="O16" i="2"/>
  <c r="P16" i="2" s="1"/>
  <c r="U16" i="2" s="1"/>
  <c r="V16" i="2" s="1"/>
  <c r="S17" i="2" l="1"/>
  <c r="T17" i="2" s="1"/>
  <c r="N17" i="2"/>
  <c r="O17" i="2" l="1"/>
  <c r="P17" i="2" s="1"/>
  <c r="U17" i="2" s="1"/>
  <c r="V17" i="2" s="1"/>
  <c r="M18" i="2"/>
  <c r="S18" i="2" l="1"/>
  <c r="T18" i="2" s="1"/>
  <c r="N18" i="2"/>
  <c r="M19" i="2" l="1"/>
  <c r="O18" i="2"/>
  <c r="P18" i="2" s="1"/>
  <c r="U18" i="2" s="1"/>
  <c r="V18" i="2" s="1"/>
  <c r="S19" i="2" l="1"/>
  <c r="T19" i="2" s="1"/>
  <c r="N19" i="2"/>
  <c r="O19" i="2" l="1"/>
  <c r="P19" i="2" s="1"/>
  <c r="U19" i="2" s="1"/>
  <c r="V19" i="2" s="1"/>
  <c r="M20" i="2"/>
  <c r="S20" i="2" l="1"/>
  <c r="T20" i="2" s="1"/>
  <c r="N20" i="2"/>
  <c r="O20" i="2" l="1"/>
  <c r="P20" i="2" s="1"/>
  <c r="U20" i="2" s="1"/>
  <c r="V20" i="2" s="1"/>
  <c r="M21" i="2"/>
  <c r="S21" i="2" l="1"/>
  <c r="T21" i="2" s="1"/>
  <c r="N21" i="2"/>
  <c r="M22" i="2" l="1"/>
  <c r="O21" i="2"/>
  <c r="P21" i="2" s="1"/>
  <c r="U21" i="2" s="1"/>
  <c r="V21" i="2" s="1"/>
  <c r="S22" i="2" l="1"/>
  <c r="T22" i="2" s="1"/>
  <c r="N22" i="2"/>
  <c r="M23" i="2" l="1"/>
  <c r="O22" i="2"/>
  <c r="P22" i="2" s="1"/>
  <c r="U22" i="2" s="1"/>
  <c r="V22" i="2" s="1"/>
  <c r="S23" i="2" l="1"/>
  <c r="T23" i="2" s="1"/>
  <c r="N23" i="2"/>
  <c r="M24" i="2" l="1"/>
  <c r="O23" i="2"/>
  <c r="P23" i="2" s="1"/>
  <c r="U23" i="2" s="1"/>
  <c r="V23" i="2" s="1"/>
  <c r="S24" i="2" l="1"/>
  <c r="T24" i="2" s="1"/>
  <c r="N24" i="2"/>
  <c r="O24" i="2" l="1"/>
  <c r="P24" i="2" s="1"/>
  <c r="U24" i="2" s="1"/>
  <c r="V24" i="2" s="1"/>
  <c r="M25" i="2"/>
  <c r="S25" i="2" l="1"/>
  <c r="T25" i="2" s="1"/>
  <c r="N25" i="2"/>
  <c r="M26" i="2" l="1"/>
  <c r="O25" i="2"/>
  <c r="P25" i="2" s="1"/>
  <c r="U25" i="2" s="1"/>
  <c r="V25" i="2" s="1"/>
  <c r="S26" i="2" l="1"/>
  <c r="T26" i="2" s="1"/>
  <c r="N26" i="2"/>
  <c r="O26" i="2" l="1"/>
  <c r="P26" i="2" s="1"/>
  <c r="U26" i="2" s="1"/>
  <c r="V26" i="2" s="1"/>
  <c r="M27" i="2"/>
  <c r="S27" i="2" l="1"/>
  <c r="T27" i="2" s="1"/>
  <c r="N27" i="2"/>
  <c r="M28" i="2" l="1"/>
  <c r="O27" i="2"/>
  <c r="P27" i="2" s="1"/>
  <c r="U27" i="2" s="1"/>
  <c r="V27" i="2" s="1"/>
  <c r="S28" i="2" l="1"/>
  <c r="T28" i="2" s="1"/>
  <c r="N28" i="2"/>
  <c r="O28" i="2" l="1"/>
  <c r="P28" i="2"/>
  <c r="U28" i="2" s="1"/>
  <c r="V28" i="2" s="1"/>
  <c r="M29" i="2"/>
  <c r="S29" i="2" l="1"/>
  <c r="T29" i="2" s="1"/>
  <c r="N29" i="2"/>
  <c r="O29" i="2" l="1"/>
  <c r="P29" i="2" s="1"/>
  <c r="U29" i="2" s="1"/>
  <c r="V29" i="2" s="1"/>
  <c r="M30" i="2"/>
  <c r="S30" i="2" l="1"/>
  <c r="T30" i="2" s="1"/>
  <c r="N30" i="2"/>
  <c r="M31" i="2" l="1"/>
  <c r="O30" i="2"/>
  <c r="P30" i="2" s="1"/>
  <c r="U30" i="2" s="1"/>
  <c r="V30" i="2" s="1"/>
  <c r="S31" i="2" l="1"/>
  <c r="T31" i="2" s="1"/>
  <c r="N31" i="2"/>
  <c r="M32" i="2" l="1"/>
  <c r="O31" i="2"/>
  <c r="P31" i="2" s="1"/>
  <c r="U31" i="2" s="1"/>
  <c r="V31" i="2" s="1"/>
  <c r="S32" i="2" l="1"/>
  <c r="T32" i="2" s="1"/>
  <c r="N32" i="2"/>
  <c r="O32" i="2" l="1"/>
  <c r="P32" i="2" s="1"/>
  <c r="U32" i="2" s="1"/>
  <c r="V32" i="2" s="1"/>
  <c r="M33" i="2"/>
  <c r="S33" i="2" l="1"/>
  <c r="T33" i="2" s="1"/>
  <c r="N33" i="2"/>
  <c r="O33" i="2" l="1"/>
  <c r="P33" i="2" s="1"/>
  <c r="U33" i="2" s="1"/>
  <c r="V33" i="2" s="1"/>
  <c r="M34" i="2"/>
  <c r="S34" i="2" l="1"/>
  <c r="T34" i="2" s="1"/>
  <c r="N34" i="2"/>
  <c r="M35" i="2" l="1"/>
  <c r="O34" i="2"/>
  <c r="P34" i="2" s="1"/>
  <c r="U34" i="2" s="1"/>
  <c r="V34" i="2" s="1"/>
  <c r="S35" i="2" l="1"/>
  <c r="T35" i="2" s="1"/>
  <c r="N35" i="2"/>
  <c r="O35" i="2" l="1"/>
  <c r="P35" i="2" s="1"/>
  <c r="U35" i="2" s="1"/>
  <c r="V35" i="2" s="1"/>
  <c r="M36" i="2"/>
  <c r="S36" i="2" l="1"/>
  <c r="T36" i="2" s="1"/>
  <c r="N36" i="2"/>
  <c r="O36" i="2" l="1"/>
  <c r="P36" i="2" s="1"/>
  <c r="U36" i="2" s="1"/>
  <c r="V36" i="2" s="1"/>
  <c r="M37" i="2"/>
  <c r="S37" i="2" l="1"/>
  <c r="T37" i="2" s="1"/>
  <c r="N37" i="2"/>
  <c r="O37" i="2" l="1"/>
  <c r="P37" i="2" s="1"/>
  <c r="U37" i="2" s="1"/>
  <c r="V37" i="2" s="1"/>
  <c r="M38" i="2"/>
  <c r="S38" i="2" l="1"/>
  <c r="T38" i="2" s="1"/>
  <c r="N38" i="2"/>
  <c r="O38" i="2" l="1"/>
  <c r="P38" i="2" s="1"/>
  <c r="U38" i="2" s="1"/>
  <c r="V38" i="2" s="1"/>
  <c r="M39" i="2"/>
  <c r="S39" i="2" l="1"/>
  <c r="T39" i="2" s="1"/>
  <c r="N39" i="2"/>
  <c r="O39" i="2" l="1"/>
  <c r="P39" i="2" s="1"/>
  <c r="U39" i="2" s="1"/>
  <c r="V39" i="2" s="1"/>
  <c r="M40" i="2"/>
  <c r="S40" i="2" l="1"/>
  <c r="T40" i="2" s="1"/>
  <c r="N40" i="2"/>
  <c r="O40" i="2" l="1"/>
  <c r="P40" i="2"/>
  <c r="U40" i="2" s="1"/>
  <c r="V40" i="2" s="1"/>
  <c r="M41" i="2"/>
  <c r="S41" i="2" l="1"/>
  <c r="T41" i="2" s="1"/>
  <c r="N41" i="2"/>
  <c r="O41" i="2" l="1"/>
  <c r="P41" i="2" s="1"/>
  <c r="U41" i="2" s="1"/>
  <c r="V41" i="2" s="1"/>
  <c r="M42" i="2"/>
  <c r="S42" i="2" l="1"/>
  <c r="T42" i="2" s="1"/>
  <c r="N42" i="2"/>
  <c r="O42" i="2" l="1"/>
  <c r="P42" i="2" s="1"/>
  <c r="U42" i="2" s="1"/>
  <c r="V42" i="2" s="1"/>
  <c r="M43" i="2"/>
  <c r="S43" i="2" l="1"/>
  <c r="T43" i="2" s="1"/>
  <c r="N43" i="2"/>
  <c r="O43" i="2" l="1"/>
  <c r="P43" i="2" s="1"/>
  <c r="U43" i="2" s="1"/>
  <c r="V43" i="2" s="1"/>
  <c r="M44" i="2"/>
  <c r="S44" i="2" l="1"/>
  <c r="T44" i="2" s="1"/>
  <c r="N44" i="2"/>
  <c r="O44" i="2" l="1"/>
  <c r="P44" i="2" s="1"/>
  <c r="U44" i="2" s="1"/>
  <c r="V44" i="2" s="1"/>
  <c r="M45" i="2"/>
  <c r="S45" i="2" l="1"/>
  <c r="T45" i="2" s="1"/>
  <c r="N45" i="2"/>
  <c r="O45" i="2" l="1"/>
  <c r="P45" i="2" s="1"/>
  <c r="U45" i="2" s="1"/>
  <c r="V45" i="2" s="1"/>
  <c r="M46" i="2"/>
  <c r="S46" i="2" l="1"/>
  <c r="T46" i="2" s="1"/>
  <c r="N46" i="2"/>
  <c r="O46" i="2" l="1"/>
  <c r="P46" i="2" s="1"/>
  <c r="U46" i="2" s="1"/>
  <c r="V46" i="2" s="1"/>
  <c r="M47" i="2"/>
  <c r="S47" i="2" l="1"/>
  <c r="T47" i="2" s="1"/>
  <c r="N47" i="2"/>
  <c r="O47" i="2" l="1"/>
  <c r="P47" i="2" s="1"/>
  <c r="U47" i="2" s="1"/>
  <c r="V47" i="2" s="1"/>
  <c r="M48" i="2"/>
  <c r="S48" i="2" l="1"/>
  <c r="T48" i="2" s="1"/>
  <c r="N48" i="2"/>
  <c r="O48" i="2" l="1"/>
  <c r="P48" i="2" s="1"/>
  <c r="U48" i="2" s="1"/>
  <c r="V48" i="2" s="1"/>
  <c r="M49" i="2"/>
  <c r="S49" i="2" l="1"/>
  <c r="T49" i="2" s="1"/>
  <c r="N49" i="2"/>
  <c r="O49" i="2" l="1"/>
  <c r="P49" i="2" s="1"/>
  <c r="U49" i="2" s="1"/>
  <c r="V49" i="2" s="1"/>
  <c r="M50" i="2"/>
  <c r="S50" i="2" l="1"/>
  <c r="T50" i="2" s="1"/>
  <c r="N50" i="2"/>
  <c r="O50" i="2" l="1"/>
  <c r="P50" i="2" s="1"/>
  <c r="U50" i="2" s="1"/>
  <c r="V50" i="2" s="1"/>
  <c r="M51" i="2"/>
  <c r="S51" i="2" l="1"/>
  <c r="T51" i="2" s="1"/>
  <c r="N51" i="2"/>
  <c r="O51" i="2" l="1"/>
  <c r="P51" i="2" s="1"/>
  <c r="U51" i="2" s="1"/>
  <c r="V51" i="2" s="1"/>
  <c r="M52" i="2"/>
  <c r="S52" i="2" l="1"/>
  <c r="T52" i="2" s="1"/>
  <c r="N52" i="2"/>
  <c r="O52" i="2" l="1"/>
  <c r="P52" i="2" s="1"/>
  <c r="U52" i="2" s="1"/>
  <c r="V52" i="2" s="1"/>
  <c r="M53" i="2"/>
  <c r="S53" i="2" l="1"/>
  <c r="T53" i="2" s="1"/>
  <c r="N53" i="2"/>
  <c r="M54" i="2" l="1"/>
  <c r="O53" i="2"/>
  <c r="P53" i="2" s="1"/>
  <c r="U53" i="2" s="1"/>
  <c r="V53" i="2" s="1"/>
  <c r="S54" i="2" l="1"/>
  <c r="T54" i="2" s="1"/>
  <c r="N54" i="2"/>
  <c r="O54" i="2" l="1"/>
  <c r="P54" i="2" s="1"/>
  <c r="U54" i="2" s="1"/>
  <c r="V54" i="2" s="1"/>
  <c r="M55" i="2"/>
  <c r="S55" i="2" l="1"/>
  <c r="T55" i="2" s="1"/>
  <c r="N55" i="2"/>
  <c r="O55" i="2" l="1"/>
  <c r="P55" i="2" s="1"/>
  <c r="U55" i="2" s="1"/>
  <c r="V55" i="2" s="1"/>
  <c r="M56" i="2"/>
  <c r="S56" i="2" l="1"/>
  <c r="T56" i="2" s="1"/>
  <c r="N56" i="2"/>
  <c r="M57" i="2" l="1"/>
  <c r="O56" i="2"/>
  <c r="P56" i="2" s="1"/>
  <c r="U56" i="2" s="1"/>
  <c r="V56" i="2" s="1"/>
  <c r="S57" i="2" l="1"/>
  <c r="T57" i="2" s="1"/>
  <c r="N57" i="2"/>
  <c r="O57" i="2" l="1"/>
  <c r="P57" i="2" s="1"/>
  <c r="U57" i="2" s="1"/>
  <c r="V57" i="2" s="1"/>
  <c r="M58" i="2"/>
  <c r="S58" i="2" l="1"/>
  <c r="T58" i="2" s="1"/>
  <c r="N58" i="2"/>
  <c r="O58" i="2" l="1"/>
  <c r="P58" i="2" s="1"/>
  <c r="U58" i="2" s="1"/>
  <c r="V58" i="2" s="1"/>
  <c r="M59" i="2"/>
  <c r="S59" i="2" l="1"/>
  <c r="T59" i="2" s="1"/>
  <c r="N59" i="2"/>
  <c r="O59" i="2" l="1"/>
  <c r="P59" i="2" s="1"/>
  <c r="U59" i="2" s="1"/>
  <c r="V59" i="2" s="1"/>
  <c r="M60" i="2"/>
  <c r="S60" i="2" l="1"/>
  <c r="T60" i="2" s="1"/>
  <c r="N60" i="2"/>
  <c r="M61" i="2" l="1"/>
  <c r="O60" i="2"/>
  <c r="P60" i="2" s="1"/>
  <c r="U60" i="2" s="1"/>
  <c r="V60" i="2" s="1"/>
  <c r="S61" i="2" l="1"/>
  <c r="T61" i="2" s="1"/>
  <c r="N61" i="2"/>
  <c r="O61" i="2" l="1"/>
  <c r="P61" i="2" s="1"/>
  <c r="U61" i="2" s="1"/>
  <c r="V61" i="2" s="1"/>
  <c r="M62" i="2"/>
  <c r="S62" i="2" l="1"/>
  <c r="T62" i="2" s="1"/>
  <c r="N62" i="2"/>
  <c r="M63" i="2" l="1"/>
  <c r="O62" i="2"/>
  <c r="P62" i="2" s="1"/>
  <c r="U62" i="2" s="1"/>
  <c r="V62" i="2" s="1"/>
  <c r="S63" i="2" l="1"/>
  <c r="T63" i="2" s="1"/>
  <c r="N63" i="2"/>
  <c r="O63" i="2" l="1"/>
  <c r="P63" i="2" s="1"/>
  <c r="U63" i="2" s="1"/>
  <c r="V63" i="2" s="1"/>
  <c r="M64" i="2"/>
  <c r="S64" i="2" l="1"/>
  <c r="T64" i="2" s="1"/>
  <c r="N64" i="2"/>
  <c r="O64" i="2" l="1"/>
  <c r="P64" i="2"/>
  <c r="U64" i="2" s="1"/>
  <c r="V64" i="2" s="1"/>
  <c r="M65" i="2"/>
  <c r="S65" i="2" l="1"/>
  <c r="T65" i="2" s="1"/>
  <c r="N65" i="2"/>
  <c r="O65" i="2" l="1"/>
  <c r="P65" i="2" s="1"/>
  <c r="U65" i="2" s="1"/>
  <c r="V65" i="2" s="1"/>
  <c r="M66" i="2"/>
  <c r="S66" i="2" l="1"/>
  <c r="T66" i="2" s="1"/>
  <c r="N66" i="2"/>
  <c r="M67" i="2" l="1"/>
  <c r="O66" i="2"/>
  <c r="P66" i="2" s="1"/>
  <c r="U66" i="2" s="1"/>
  <c r="V66" i="2" s="1"/>
  <c r="S67" i="2" l="1"/>
  <c r="T67" i="2" s="1"/>
  <c r="N67" i="2"/>
  <c r="O67" i="2" l="1"/>
  <c r="P67" i="2" s="1"/>
  <c r="U67" i="2" s="1"/>
  <c r="V67" i="2" s="1"/>
  <c r="M68" i="2"/>
  <c r="S68" i="2" l="1"/>
  <c r="T68" i="2" s="1"/>
  <c r="N68" i="2"/>
  <c r="O68" i="2" l="1"/>
  <c r="P68" i="2" s="1"/>
  <c r="U68" i="2" s="1"/>
  <c r="V68" i="2" s="1"/>
  <c r="M69" i="2"/>
  <c r="S69" i="2" l="1"/>
  <c r="T69" i="2" s="1"/>
  <c r="N69" i="2"/>
  <c r="M70" i="2" l="1"/>
  <c r="O69" i="2"/>
  <c r="P69" i="2" s="1"/>
  <c r="U69" i="2" s="1"/>
  <c r="V69" i="2" s="1"/>
  <c r="S70" i="2" l="1"/>
  <c r="T70" i="2" s="1"/>
  <c r="N70" i="2"/>
  <c r="O70" i="2" l="1"/>
  <c r="P70" i="2"/>
  <c r="U70" i="2" s="1"/>
  <c r="V70" i="2" s="1"/>
  <c r="M71" i="2"/>
  <c r="S71" i="2" l="1"/>
  <c r="T71" i="2" s="1"/>
  <c r="N71" i="2"/>
  <c r="O71" i="2" l="1"/>
  <c r="P71" i="2"/>
  <c r="U71" i="2" s="1"/>
  <c r="V71" i="2" s="1"/>
  <c r="M72" i="2"/>
  <c r="S72" i="2" l="1"/>
  <c r="T72" i="2" s="1"/>
  <c r="N72" i="2"/>
  <c r="O72" i="2" l="1"/>
  <c r="P72" i="2" s="1"/>
  <c r="U72" i="2" s="1"/>
  <c r="V72" i="2" s="1"/>
  <c r="M73" i="2"/>
  <c r="S73" i="2" l="1"/>
  <c r="T73" i="2" s="1"/>
  <c r="N73" i="2"/>
  <c r="O73" i="2" l="1"/>
  <c r="P73" i="2" s="1"/>
  <c r="U73" i="2" s="1"/>
  <c r="V73" i="2" s="1"/>
  <c r="M74" i="2"/>
  <c r="S74" i="2" l="1"/>
  <c r="T74" i="2" s="1"/>
  <c r="N74" i="2"/>
  <c r="M75" i="2" l="1"/>
  <c r="O74" i="2"/>
  <c r="P74" i="2" s="1"/>
  <c r="U74" i="2" s="1"/>
  <c r="V74" i="2" s="1"/>
  <c r="S75" i="2" l="1"/>
  <c r="T75" i="2" s="1"/>
  <c r="N75" i="2"/>
  <c r="O75" i="2" l="1"/>
  <c r="P75" i="2" s="1"/>
  <c r="U75" i="2" s="1"/>
  <c r="V75" i="2" s="1"/>
  <c r="M76" i="2"/>
  <c r="S76" i="2" l="1"/>
  <c r="T76" i="2" s="1"/>
  <c r="N76" i="2"/>
  <c r="O76" i="2" l="1"/>
  <c r="P76" i="2" s="1"/>
  <c r="U76" i="2" s="1"/>
  <c r="V76" i="2" s="1"/>
  <c r="M77" i="2"/>
  <c r="S77" i="2" l="1"/>
  <c r="T77" i="2" s="1"/>
  <c r="N77" i="2"/>
  <c r="O77" i="2" l="1"/>
  <c r="P77" i="2" s="1"/>
  <c r="U77" i="2" s="1"/>
  <c r="V77" i="2" s="1"/>
  <c r="M78" i="2"/>
  <c r="S78" i="2" l="1"/>
  <c r="T78" i="2" s="1"/>
  <c r="N78" i="2"/>
  <c r="O78" i="2" l="1"/>
  <c r="P78" i="2" s="1"/>
  <c r="U78" i="2" s="1"/>
  <c r="V78" i="2" s="1"/>
  <c r="M79" i="2"/>
  <c r="S79" i="2" l="1"/>
  <c r="T79" i="2" s="1"/>
  <c r="N79" i="2"/>
  <c r="O79" i="2" l="1"/>
  <c r="P79" i="2" s="1"/>
  <c r="U79" i="2" s="1"/>
  <c r="V79" i="2" s="1"/>
  <c r="M80" i="2"/>
  <c r="S80" i="2" l="1"/>
  <c r="T80" i="2" s="1"/>
  <c r="N80" i="2"/>
  <c r="M81" i="2" l="1"/>
  <c r="O80" i="2"/>
  <c r="P80" i="2" s="1"/>
  <c r="U80" i="2" s="1"/>
  <c r="V80" i="2" s="1"/>
  <c r="S81" i="2" l="1"/>
  <c r="T81" i="2" s="1"/>
  <c r="N81" i="2"/>
  <c r="M82" i="2" l="1"/>
  <c r="O81" i="2"/>
  <c r="P81" i="2" s="1"/>
  <c r="U81" i="2" s="1"/>
  <c r="V81" i="2" s="1"/>
  <c r="S82" i="2" l="1"/>
  <c r="T82" i="2" s="1"/>
  <c r="N82" i="2"/>
  <c r="M83" i="2" l="1"/>
  <c r="O82" i="2"/>
  <c r="P82" i="2"/>
  <c r="U82" i="2" s="1"/>
  <c r="V82" i="2" s="1"/>
  <c r="S83" i="2" l="1"/>
  <c r="T83" i="2" s="1"/>
  <c r="N83" i="2"/>
  <c r="M84" i="2" l="1"/>
  <c r="O83" i="2"/>
  <c r="P83" i="2"/>
  <c r="U83" i="2" s="1"/>
  <c r="V83" i="2" s="1"/>
  <c r="S84" i="2" l="1"/>
  <c r="T84" i="2" s="1"/>
  <c r="N84" i="2"/>
  <c r="M85" i="2" l="1"/>
  <c r="O84" i="2"/>
  <c r="P84" i="2" s="1"/>
  <c r="U84" i="2" s="1"/>
  <c r="V84" i="2" s="1"/>
  <c r="S85" i="2" l="1"/>
  <c r="T85" i="2" s="1"/>
  <c r="N85" i="2"/>
  <c r="O85" i="2" l="1"/>
  <c r="P85" i="2" s="1"/>
  <c r="U85" i="2" s="1"/>
  <c r="V85" i="2" s="1"/>
  <c r="M86" i="2"/>
  <c r="S86" i="2" l="1"/>
  <c r="T86" i="2" s="1"/>
  <c r="N86" i="2"/>
  <c r="O86" i="2" l="1"/>
  <c r="P86" i="2" s="1"/>
  <c r="U86" i="2" s="1"/>
  <c r="V86" i="2" s="1"/>
  <c r="M87" i="2"/>
  <c r="S87" i="2" l="1"/>
  <c r="T87" i="2" s="1"/>
  <c r="N87" i="2"/>
  <c r="O87" i="2" l="1"/>
  <c r="P87" i="2" s="1"/>
  <c r="U87" i="2" s="1"/>
  <c r="V87" i="2" s="1"/>
  <c r="M88" i="2"/>
  <c r="S88" i="2" l="1"/>
  <c r="T88" i="2" s="1"/>
  <c r="N88" i="2"/>
  <c r="O88" i="2" l="1"/>
  <c r="P88" i="2" s="1"/>
  <c r="U88" i="2" s="1"/>
  <c r="V88" i="2" s="1"/>
  <c r="M89" i="2"/>
  <c r="S89" i="2" l="1"/>
  <c r="T89" i="2" s="1"/>
  <c r="N89" i="2"/>
  <c r="M90" i="2" l="1"/>
  <c r="O89" i="2"/>
  <c r="P89" i="2" s="1"/>
  <c r="U89" i="2" s="1"/>
  <c r="V89" i="2" s="1"/>
  <c r="S90" i="2" l="1"/>
  <c r="T90" i="2" s="1"/>
  <c r="N90" i="2"/>
  <c r="O90" i="2" l="1"/>
  <c r="P90" i="2" s="1"/>
  <c r="U90" i="2" s="1"/>
  <c r="V90" i="2" s="1"/>
  <c r="M91" i="2"/>
  <c r="S91" i="2" l="1"/>
  <c r="T91" i="2" s="1"/>
  <c r="N91" i="2"/>
  <c r="O91" i="2" l="1"/>
  <c r="P91" i="2" s="1"/>
  <c r="U91" i="2" s="1"/>
  <c r="V91" i="2" s="1"/>
  <c r="M92" i="2"/>
  <c r="S92" i="2" l="1"/>
  <c r="T92" i="2" s="1"/>
  <c r="N92" i="2"/>
  <c r="O92" i="2" l="1"/>
  <c r="P92" i="2" s="1"/>
  <c r="U92" i="2" s="1"/>
  <c r="V92" i="2" s="1"/>
  <c r="M93" i="2"/>
  <c r="S93" i="2" l="1"/>
  <c r="T93" i="2" s="1"/>
  <c r="N93" i="2"/>
  <c r="O93" i="2" l="1"/>
  <c r="P93" i="2" s="1"/>
  <c r="U93" i="2" s="1"/>
  <c r="V93" i="2" s="1"/>
  <c r="M94" i="2"/>
  <c r="S94" i="2" l="1"/>
  <c r="T94" i="2" s="1"/>
  <c r="N94" i="2"/>
  <c r="O94" i="2" l="1"/>
  <c r="P94" i="2" s="1"/>
  <c r="U94" i="2" s="1"/>
  <c r="V94" i="2" s="1"/>
  <c r="M95" i="2"/>
  <c r="S95" i="2" l="1"/>
  <c r="T95" i="2" s="1"/>
  <c r="N95" i="2"/>
  <c r="M96" i="2" l="1"/>
  <c r="O95" i="2"/>
  <c r="P95" i="2" s="1"/>
  <c r="U95" i="2" s="1"/>
  <c r="V95" i="2" s="1"/>
  <c r="S96" i="2" l="1"/>
  <c r="T96" i="2" s="1"/>
  <c r="N96" i="2"/>
  <c r="M97" i="2" l="1"/>
  <c r="O96" i="2"/>
  <c r="P96" i="2" s="1"/>
  <c r="U96" i="2" s="1"/>
  <c r="V96" i="2" s="1"/>
  <c r="S97" i="2" l="1"/>
  <c r="T97" i="2" s="1"/>
  <c r="N97" i="2"/>
  <c r="O97" i="2" l="1"/>
  <c r="P97" i="2" s="1"/>
  <c r="U97" i="2" s="1"/>
  <c r="V97" i="2" s="1"/>
  <c r="M98" i="2"/>
  <c r="S98" i="2" l="1"/>
  <c r="T98" i="2" s="1"/>
  <c r="N98" i="2"/>
  <c r="M99" i="2" l="1"/>
  <c r="O98" i="2"/>
  <c r="P98" i="2" s="1"/>
  <c r="U98" i="2" s="1"/>
  <c r="V98" i="2" s="1"/>
  <c r="S99" i="2" l="1"/>
  <c r="T99" i="2" s="1"/>
  <c r="N99" i="2"/>
  <c r="O99" i="2" l="1"/>
  <c r="P99" i="2" s="1"/>
  <c r="U99" i="2" s="1"/>
  <c r="V99" i="2" s="1"/>
  <c r="M100" i="2"/>
  <c r="S100" i="2" l="1"/>
  <c r="T100" i="2" s="1"/>
  <c r="N100" i="2"/>
  <c r="O100" i="2" l="1"/>
  <c r="P100" i="2" s="1"/>
  <c r="U100" i="2" s="1"/>
  <c r="V100" i="2" s="1"/>
  <c r="M101" i="2"/>
  <c r="S101" i="2" l="1"/>
  <c r="T101" i="2" s="1"/>
  <c r="N101" i="2"/>
  <c r="M102" i="2" l="1"/>
  <c r="O101" i="2"/>
  <c r="P101" i="2" s="1"/>
  <c r="U101" i="2" s="1"/>
  <c r="V101" i="2" s="1"/>
  <c r="S102" i="2" l="1"/>
  <c r="T102" i="2" s="1"/>
  <c r="N102" i="2"/>
  <c r="M103" i="2" l="1"/>
  <c r="O102" i="2"/>
  <c r="P102" i="2" s="1"/>
  <c r="U102" i="2" s="1"/>
  <c r="V102" i="2" s="1"/>
  <c r="S103" i="2" l="1"/>
  <c r="T103" i="2" s="1"/>
  <c r="N103" i="2"/>
  <c r="O103" i="2" l="1"/>
  <c r="P103" i="2" s="1"/>
  <c r="U103" i="2" s="1"/>
  <c r="V103" i="2" s="1"/>
  <c r="M104" i="2"/>
  <c r="S104" i="2" l="1"/>
  <c r="T104" i="2" s="1"/>
  <c r="N104" i="2"/>
  <c r="M105" i="2" l="1"/>
  <c r="O104" i="2"/>
  <c r="P104" i="2"/>
  <c r="U104" i="2" s="1"/>
  <c r="V104" i="2" s="1"/>
  <c r="S105" i="2" l="1"/>
  <c r="T105" i="2" s="1"/>
  <c r="N105" i="2"/>
  <c r="O105" i="2" l="1"/>
  <c r="P105" i="2" s="1"/>
  <c r="U105" i="2" s="1"/>
  <c r="V105" i="2" s="1"/>
  <c r="M106" i="2"/>
  <c r="S106" i="2" l="1"/>
  <c r="T106" i="2" s="1"/>
  <c r="N106" i="2"/>
  <c r="M107" i="2" l="1"/>
  <c r="O106" i="2"/>
  <c r="P106" i="2" s="1"/>
  <c r="U106" i="2" s="1"/>
  <c r="V106" i="2" s="1"/>
  <c r="S107" i="2" l="1"/>
  <c r="T107" i="2" s="1"/>
  <c r="N107" i="2"/>
  <c r="M108" i="2" l="1"/>
  <c r="O107" i="2"/>
  <c r="P107" i="2" s="1"/>
  <c r="U107" i="2" s="1"/>
  <c r="V107" i="2" s="1"/>
  <c r="S108" i="2" l="1"/>
  <c r="T108" i="2" s="1"/>
  <c r="N108" i="2"/>
  <c r="M109" i="2" l="1"/>
  <c r="O108" i="2"/>
  <c r="P108" i="2" s="1"/>
  <c r="U108" i="2" s="1"/>
  <c r="V108" i="2" s="1"/>
  <c r="S109" i="2" l="1"/>
  <c r="T109" i="2" s="1"/>
  <c r="N109" i="2"/>
  <c r="O109" i="2" l="1"/>
  <c r="P109" i="2" s="1"/>
  <c r="U109" i="2" s="1"/>
  <c r="V109" i="2" s="1"/>
  <c r="M110" i="2"/>
  <c r="S110" i="2" l="1"/>
  <c r="T110" i="2" s="1"/>
  <c r="N110" i="2"/>
  <c r="M111" i="2" l="1"/>
  <c r="O110" i="2"/>
  <c r="P110" i="2" s="1"/>
  <c r="U110" i="2" s="1"/>
  <c r="V110" i="2" s="1"/>
  <c r="S111" i="2" l="1"/>
  <c r="T111" i="2" s="1"/>
  <c r="N111" i="2"/>
  <c r="O111" i="2" l="1"/>
  <c r="P111" i="2" s="1"/>
  <c r="U111" i="2" s="1"/>
  <c r="V111" i="2" s="1"/>
  <c r="M112" i="2"/>
  <c r="S112" i="2" l="1"/>
  <c r="T112" i="2" s="1"/>
  <c r="N112" i="2"/>
  <c r="M113" i="2" l="1"/>
  <c r="O112" i="2"/>
  <c r="P112" i="2" s="1"/>
  <c r="U112" i="2" s="1"/>
  <c r="V112" i="2" s="1"/>
  <c r="S113" i="2" l="1"/>
  <c r="T113" i="2" s="1"/>
  <c r="N113" i="2"/>
  <c r="M114" i="2" l="1"/>
  <c r="O113" i="2"/>
  <c r="P113" i="2" s="1"/>
  <c r="U113" i="2" s="1"/>
  <c r="V113" i="2" s="1"/>
  <c r="S114" i="2" l="1"/>
  <c r="T114" i="2" s="1"/>
  <c r="N114" i="2"/>
  <c r="O114" i="2" l="1"/>
  <c r="P114" i="2" s="1"/>
  <c r="U114" i="2" s="1"/>
  <c r="V114" i="2" s="1"/>
  <c r="M115" i="2"/>
  <c r="S115" i="2" l="1"/>
  <c r="T115" i="2" s="1"/>
  <c r="N115" i="2"/>
  <c r="O115" i="2" l="1"/>
  <c r="P115" i="2" s="1"/>
  <c r="U115" i="2" s="1"/>
  <c r="V115" i="2" s="1"/>
  <c r="M116" i="2"/>
  <c r="S116" i="2" l="1"/>
  <c r="T116" i="2" s="1"/>
  <c r="N116" i="2"/>
  <c r="M117" i="2" l="1"/>
  <c r="O116" i="2"/>
  <c r="P116" i="2" s="1"/>
  <c r="U116" i="2" s="1"/>
  <c r="V116" i="2" s="1"/>
  <c r="S117" i="2" l="1"/>
  <c r="T117" i="2" s="1"/>
  <c r="N117" i="2"/>
  <c r="O117" i="2" l="1"/>
  <c r="P117" i="2" s="1"/>
  <c r="U117" i="2" s="1"/>
  <c r="V117" i="2" s="1"/>
  <c r="M118" i="2"/>
  <c r="S118" i="2" l="1"/>
  <c r="T118" i="2" s="1"/>
  <c r="N118" i="2"/>
  <c r="M119" i="2" l="1"/>
  <c r="O118" i="2"/>
  <c r="P118" i="2" s="1"/>
  <c r="U118" i="2" s="1"/>
  <c r="V118" i="2" s="1"/>
  <c r="S119" i="2" l="1"/>
  <c r="T119" i="2" s="1"/>
  <c r="N119" i="2"/>
  <c r="O119" i="2" l="1"/>
  <c r="P119" i="2" s="1"/>
  <c r="U119" i="2" s="1"/>
  <c r="V119" i="2" s="1"/>
  <c r="M120" i="2"/>
  <c r="S120" i="2" l="1"/>
  <c r="T120" i="2" s="1"/>
  <c r="N120" i="2"/>
  <c r="O120" i="2" l="1"/>
  <c r="P120" i="2" s="1"/>
  <c r="U120" i="2" s="1"/>
  <c r="V120" i="2" s="1"/>
  <c r="M121" i="2"/>
  <c r="S121" i="2" l="1"/>
  <c r="N121" i="2"/>
  <c r="M122" i="2"/>
  <c r="C21" i="3"/>
  <c r="O121" i="2" l="1"/>
  <c r="N122" i="2"/>
  <c r="S122" i="2"/>
  <c r="T121" i="2"/>
  <c r="T122" i="2" s="1"/>
  <c r="O122" i="2" l="1"/>
  <c r="C17" i="3"/>
  <c r="P121" i="2"/>
  <c r="U121" i="2" l="1"/>
  <c r="C8" i="3"/>
  <c r="C15" i="3"/>
  <c r="P122" i="2"/>
  <c r="C7" i="3" l="1"/>
  <c r="C6" i="3"/>
  <c r="U122" i="2"/>
  <c r="V121" i="2"/>
  <c r="V122" i="2" l="1"/>
  <c r="C9" i="3" a="1"/>
  <c r="C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<sst xmlns="http://schemas.openxmlformats.org/spreadsheetml/2006/main" count="362" uniqueCount="215">
  <si>
    <t>ВХОДНЫЕ ПАРАМЕТРЫ ПРОЕКТА</t>
  </si>
  <si>
    <t>Название проекта</t>
  </si>
  <si>
    <t>TEMPLATE_120m</t>
  </si>
  <si>
    <t>Дата начала строительства</t>
  </si>
  <si>
    <t>ГГГГ-ММ</t>
  </si>
  <si>
    <t>2026-01</t>
  </si>
  <si>
    <t>Площадь объекта</t>
  </si>
  <si>
    <t>кв.м.</t>
  </si>
  <si>
    <t>Себестоимость строительства (с НДС)</t>
  </si>
  <si>
    <t>руб.</t>
  </si>
  <si>
    <t>Доля кредита</t>
  </si>
  <si>
    <t>Арендная ставка</t>
  </si>
  <si>
    <t>руб./кв.м./мес.</t>
  </si>
  <si>
    <t>Годовая инфляция (индексация аренды)</t>
  </si>
  <si>
    <t>Ставка ЦБ (ставка дисконтирования)</t>
  </si>
  <si>
    <t>Кредитная ставка</t>
  </si>
  <si>
    <t>Срок строительства</t>
  </si>
  <si>
    <t>мес.</t>
  </si>
  <si>
    <t>Горизонт планирования</t>
  </si>
  <si>
    <t>Ставка НДС</t>
  </si>
  <si>
    <t>Ставка налога на прибыль</t>
  </si>
  <si>
    <t>Ставка налога на имущество</t>
  </si>
  <si>
    <t>в год</t>
  </si>
  <si>
    <t>Операционные расходы</t>
  </si>
  <si>
    <t>% от выручки б/НДС</t>
  </si>
  <si>
    <t>Срок полезного использования</t>
  </si>
  <si>
    <t>лет</t>
  </si>
  <si>
    <t>РАСЧЁТНЫЕ (ПРОИЗВОДНЫЕ) ПАРАМЕТРЫ</t>
  </si>
  <si>
    <t>Изменяйте только синие ячейки выше — формулы ниже пересчитаются автоматически.</t>
  </si>
  <si>
    <t>Себестоимость без НДС</t>
  </si>
  <si>
    <t>НДС строительства</t>
  </si>
  <si>
    <t>Сумма кредита</t>
  </si>
  <si>
    <t>Собственные средства</t>
  </si>
  <si>
    <t>Стоимость 1 кв.м.</t>
  </si>
  <si>
    <t>Период эксплуатации</t>
  </si>
  <si>
    <t>Аннуитетный платёж (в мес.)</t>
  </si>
  <si>
    <t>руб./мес.</t>
  </si>
  <si>
    <t>Амортизация (в мес.)</t>
  </si>
  <si>
    <t>НДС к возмещению (1-3 мес. экспл.)</t>
  </si>
  <si>
    <t>Мес.</t>
  </si>
  <si>
    <t>Дата</t>
  </si>
  <si>
    <t>Фаза</t>
  </si>
  <si>
    <t>Выручка с НДС</t>
  </si>
  <si>
    <t>Выручка без НДС</t>
  </si>
  <si>
    <t>НДС выходной</t>
  </si>
  <si>
    <t>НДС входной</t>
  </si>
  <si>
    <t>НДС нетто</t>
  </si>
  <si>
    <t>Опер. расходы</t>
  </si>
  <si>
    <t>Амортизация</t>
  </si>
  <si>
    <t>Налог на имущ.</t>
  </si>
  <si>
    <t>EBIT</t>
  </si>
  <si>
    <t>Проценты</t>
  </si>
  <si>
    <t>EBT</t>
  </si>
  <si>
    <t>Налог на прибыль</t>
  </si>
  <si>
    <t>Чистая прибыль</t>
  </si>
  <si>
    <t>Капвложения</t>
  </si>
  <si>
    <t>Транш кредита</t>
  </si>
  <si>
    <t>Погашение кредита</t>
  </si>
  <si>
    <t>Остаток кредита</t>
  </si>
  <si>
    <t>CF инвестора</t>
  </si>
  <si>
    <t>Накопл. CF</t>
  </si>
  <si>
    <t>2026-02</t>
  </si>
  <si>
    <t>Строительство</t>
  </si>
  <si>
    <t>2026-03</t>
  </si>
  <si>
    <t>2026-04</t>
  </si>
  <si>
    <t>2026-05</t>
  </si>
  <si>
    <t>2026-06</t>
  </si>
  <si>
    <t>2026-07</t>
  </si>
  <si>
    <t>2026-08</t>
  </si>
  <si>
    <t>Эксплуатация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</si>
  <si>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</si>
  <si>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</si>
  <si>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</si>
  <si>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</si>
  <si>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</si>
  <si>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</si>
  <si>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</si>
  <si>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</si>
  <si>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</si>
  <si>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</si>
  <si>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</si>
  <si>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</si>
  <si>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</si>
  <si>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</si>
  <si>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</si>
  <si>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</si>
  <si>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</si>
  <si>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</si>
  <si>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</si>
  <si>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</si>
  <si>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</si>
  <si>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</si>
  <si>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</si>
  <si>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</si>
  <si>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</si>
  <si>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</si>
  <si>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</si>
  <si>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</si>
  <si>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</si>
  <si>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</si>
  <si>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</si>
  <si>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</si>
  <si>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</si>
  <si>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</si>
  <si>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</si>
  <si>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</si>
  <si>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</si>
  <si>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</si>
  <si>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</si>
  <si>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</si>
  <si>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</si>
  <si>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</si>
  <si>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</si>
  <si>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</si>
  <si>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</si>
  <si>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</si>
  <si>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</si>
  <si>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</si>
  <si>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</si>
  <si>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</si>
  <si>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</si>
  <si>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</si>
  <si>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</si>
  <si>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</si>
  <si>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</si>
  <si>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</si>
  <si>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</si>
  <si>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</si>
  <si>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</si>
  <si>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</si>
  <si>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</si>
  <si>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</si>
  <si>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</si>
  <si>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</si>
  <si>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</si>
  <si>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</si>
  <si>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</si>
  <si>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</si>
  <si>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</si>
  <si>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</si>
  <si>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</si>
  <si>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</si>
  <si>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</si>
  <si>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</si>
  <si>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</si>
  <si>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</si>
  <si>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</si>
  <si>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</si>
  <si>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</si>
  <si>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</si>
  <si>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</si>
  <si>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</si>
  <si>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</si>
  <si>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</si>
  <si>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</si>
  <si>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</si>
  <si>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</si>
  <si>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</si>
  <si>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</si>
  <si>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</si>
  <si>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</si>
  <si>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</si>
  <si>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</si>
  <si>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</si>
  <si>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</si>
  <si>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</si>
  <si>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</si>
  <si>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</si>
  <si>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</si>
  <si>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</si>
  <si>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</si>
  <si>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</si>
  <si>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</si>
  <si>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</si>
  <si>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</si>
  <si>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</si>
  <si>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</si>
  <si>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</si>
  <si>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</si>
  <si>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</si>
  <si>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</si>
  <si>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</si>
  <si>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</si>
  <si>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ИТОГО ЗА ГОРИЗОНТ</t>
  </si>
  <si>
    <t>КЛЮЧЕВЫЕ ПОКАЗАТЕЛИ ПРОЕКТА</t>
  </si>
  <si>
    <t>Проект</t>
  </si>
  <si>
    <t>Дата начала</t>
  </si>
  <si>
    <t>ПОКАЗАТЕЛИ ЭФФЕКТИВНОСТИ</t>
  </si>
  <si>
    <t>NPV (чистая приведённая стоимость)</t>
  </si>
  <si>
    <t>IRR (годовая внутренняя норма доходности)</t>
  </si>
  <si>
    <t>%</t>
  </si>
  <si>
    <t>ROI (рентабельность СС за горизонт)</t>
  </si>
  <si>
    <t>Срок окупаемости</t>
  </si>
  <si>
    <t>Ставка дисконтирования (ЦБ)</t>
  </si>
  <si>
    <t>ФИНАНСОВЫЕ ИТОГИ ЗА ГОРИЗОНТ</t>
  </si>
  <si>
    <t>Суммарная выручка (с НДС)</t>
  </si>
  <si>
    <t>Суммарная выручка (без НДС)</t>
  </si>
  <si>
    <t>Чистая прибыль (суммарно)</t>
  </si>
  <si>
    <t>НАЛОГИ И ПЛАТЕЖИ ЗА ГОРИЗОНТ</t>
  </si>
  <si>
    <t>НДС к уплате (выплаты в бюджет)</t>
  </si>
  <si>
    <t>Возврат НДС из строительства</t>
  </si>
  <si>
    <t>Налог на имущество</t>
  </si>
  <si>
    <t>Проценты по кредиту</t>
  </si>
  <si>
    <t>СТРУКТУРА ФИНАНСИРОВАНИЯ</t>
  </si>
  <si>
    <t>Кредит</t>
  </si>
  <si>
    <t>Итого инвестиций</t>
  </si>
  <si>
    <t>АНАЛИЗ ЧУВСТВИТЕЛЬНОСТИ</t>
  </si>
  <si>
    <t>Параметр</t>
  </si>
  <si>
    <t>Сценарий (пессимист)</t>
  </si>
  <si>
    <t>Базовый</t>
  </si>
  <si>
    <t>Сценарий (оптимист)</t>
  </si>
  <si>
    <t>NPV пессимист</t>
  </si>
  <si>
    <t>NPV базовый</t>
  </si>
  <si>
    <t>NPV оптимист</t>
  </si>
  <si>
    <t>Таблица заполняется командой /sensitivity &lt;name&gt;. Для пересчёта сценариев вручную измените параметры на листе «Параметры».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</si>
</sst>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7F7F7F"/>
      <name val="Calibri"/>
    </font>
    <font>
      <b/>
      <sz val="11"/>
      <color rgb="FF000000"/>
      <name val="Calibri"/>
    </font>
    <font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BDD7EE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3" fillId="3" borderId="2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" fontId="3" fillId="3" borderId="2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3" fontId="2" fillId="5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5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3" fontId="2" fillId="6" borderId="2" xfId="0" applyNumberFormat="1" applyFont="1" applyFill="1" applyBorder="1" applyAlignment="1">
      <alignment horizontal="right" vertical="center"/>
    </xf>
    <xf numFmtId="10" fontId="2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6" borderId="2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sqref="A1:C1"/>
    </sheetView>
  </sheetViews>
  <sheetFormatPr defaultRowHeight="15" x14ac:dyDescent="0.25"/>
  <cols>
    <col min="1" max="1" width="40" customWidth="1"/>
    <col min="2" max="2" width="22" customWidth="1"/>
    <col min="3" max="3" width="20" customWidth="1"/>
  </cols>
  <sheetData>
    <row r="1" spans="1:3" ht="24" customHeight="1" x14ac:dyDescent="0.25">
      <c r="A1" s="24" t="s">
        <v>0</v>
      </c>
      <c r="B1" s="25"/>
      <c r="C1" s="25"/>
    </row>
    <row r="2" spans="1:3" x14ac:dyDescent="0.25">
      <c r="A2" s="1" t="s">
        <v>1</v>
      </c>
      <c r="B2" s="2"/>
      <c r="C2" s="3" t="s">
        <v>2</v>
      </c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4" t="s">
        <v>6</v>
      </c>
      <c r="B4" s="4" t="s">
        <v>7</v>
      </c>
      <c r="C4" s="5">
        <v>1000</v>
      </c>
    </row>
    <row r="5" spans="1:3" x14ac:dyDescent="0.25">
      <c r="A5" s="4" t="s">
        <v>8</v>
      </c>
      <c r="B5" s="4" t="s">
        <v>9</v>
      </c>
      <c r="C5" s="5">
        <v>50000000</v>
      </c>
    </row>
    <row r="6" spans="1:3" x14ac:dyDescent="0.25">
      <c r="A6" s="4" t="s">
        <v>10</v>
      </c>
      <c r="B6" s="4"/>
      <c r="C6" s="6">
        <v>0.8</v>
      </c>
    </row>
    <row r="7" spans="1:3" x14ac:dyDescent="0.25">
      <c r="A7" s="4" t="s">
        <v>11</v>
      </c>
      <c r="B7" s="4" t="s">
        <v>12</v>
      </c>
      <c r="C7" s="5">
        <v>1200</v>
      </c>
    </row>
    <row r="8" spans="1:3" x14ac:dyDescent="0.25">
      <c r="A8" s="4" t="s">
        <v>13</v>
      </c>
      <c r="B8" s="4"/>
      <c r="C8" s="6">
        <v>7.4999999999999997E-2</v>
      </c>
    </row>
    <row r="9" spans="1:3" x14ac:dyDescent="0.25">
      <c r="A9" s="4" t="s">
        <v>14</v>
      </c>
      <c r="B9" s="4"/>
      <c r="C9" s="6">
        <v>0.15</v>
      </c>
    </row>
    <row r="10" spans="1:3" x14ac:dyDescent="0.25">
      <c r="A10" s="4" t="s">
        <v>15</v>
      </c>
      <c r="B10" s="4"/>
      <c r="C10" s="6">
        <v>0.2</v>
      </c>
    </row>
    <row r="11" spans="1:3" x14ac:dyDescent="0.25">
      <c r="A11" s="4" t="s">
        <v>16</v>
      </c>
      <c r="B11" s="4" t="s">
        <v>17</v>
      </c>
      <c r="C11" s="7">
        <v>6</v>
      </c>
    </row>
    <row r="12" spans="1:3" x14ac:dyDescent="0.25">
      <c r="A12" s="4" t="s">
        <v>18</v>
      </c>
      <c r="B12" s="4" t="s">
        <v>17</v>
      </c>
      <c r="C12" s="7">
        <v>120</v>
      </c>
    </row>
    <row r="13" spans="1:3" x14ac:dyDescent="0.25">
      <c r="A13" s="4" t="s">
        <v>19</v>
      </c>
      <c r="B13" s="4"/>
      <c r="C13" s="6">
        <v>0.22</v>
      </c>
    </row>
    <row r="14" spans="1:3" x14ac:dyDescent="0.25">
      <c r="A14" s="4" t="s">
        <v>20</v>
      </c>
      <c r="B14" s="4"/>
      <c r="C14" s="6">
        <v>0.2</v>
      </c>
    </row>
    <row r="15" spans="1:3" x14ac:dyDescent="0.25">
      <c r="A15" s="4" t="s">
        <v>21</v>
      </c>
      <c r="B15" s="4" t="s">
        <v>22</v>
      </c>
      <c r="C15" s="6">
        <v>2.1999999999999999E-2</v>
      </c>
    </row>
    <row r="16" spans="1:3" x14ac:dyDescent="0.25">
      <c r="A16" s="4" t="s">
        <v>23</v>
      </c>
      <c r="B16" s="4" t="s">
        <v>24</v>
      </c>
      <c r="C16" s="6">
        <v>0.15</v>
      </c>
    </row>
    <row r="17" spans="1:3" x14ac:dyDescent="0.25">
      <c r="A17" s="4" t="s">
        <v>25</v>
      </c>
      <c r="B17" s="4" t="s">
        <v>26</v>
      </c>
      <c r="C17" s="7">
        <v>40</v>
      </c>
    </row>
    <row r="18" spans="1:3" x14ac:dyDescent="0.25">
      <c r="A18" s="24" t="s">
        <v>27</v>
      </c>
      <c r="B18" s="25"/>
      <c r="C18" s="25"/>
    </row>
    <row r="19" spans="1:3" x14ac:dyDescent="0.25">
      <c r="A19" s="26" t="s">
        <v>28</v>
      </c>
      <c r="B19" s="25"/>
      <c r="C19" s="25"/>
    </row>
    <row r="20" spans="1:3" x14ac:dyDescent="0.25">
      <c r="A20" s="8" t="s">
        <v>29</v>
      </c>
      <c r="B20" s="8" t="s">
        <v>9</v>
      </c>
      <c r="C20" s="9">
        <f>C5/(1+C13)</f>
        <v>40983606.557377048</v>
      </c>
    </row>
    <row r="21" spans="1:3" x14ac:dyDescent="0.25">
      <c r="A21" s="8" t="s">
        <v>30</v>
      </c>
      <c r="B21" s="8" t="s">
        <v>9</v>
      </c>
      <c r="C21" s="9">
        <f>C5-C20</f>
        <v>9016393.4426229522</v>
      </c>
    </row>
    <row r="22" spans="1:3" x14ac:dyDescent="0.25">
      <c r="A22" s="8" t="s">
        <v>31</v>
      </c>
      <c r="B22" s="8" t="s">
        <v>9</v>
      </c>
      <c r="C22" s="9">
        <f>C5*C6</f>
        <v>40000000</v>
      </c>
    </row>
    <row r="23" spans="1:3" x14ac:dyDescent="0.25">
      <c r="A23" s="8" t="s">
        <v>32</v>
      </c>
      <c r="B23" s="8" t="s">
        <v>9</v>
      </c>
      <c r="C23" s="9">
        <f>C5*(1-C6)</f>
        <v>9999999.9999999981</v>
      </c>
    </row>
    <row r="24" spans="1:3" x14ac:dyDescent="0.25">
      <c r="A24" s="8" t="s">
        <v>33</v>
      </c>
      <c r="B24" s="8" t="s">
        <v>9</v>
      </c>
      <c r="C24" s="9">
        <f>C5/C4</f>
        <v>50000</v>
      </c>
    </row>
    <row r="25" spans="1:3" x14ac:dyDescent="0.25">
      <c r="A25" s="8" t="s">
        <v>34</v>
      </c>
      <c r="B25" s="8" t="s">
        <v>17</v>
      </c>
      <c r="C25" s="9">
        <f>C12-C11</f>
        <v>114</v>
      </c>
    </row>
    <row r="26" spans="1:3" x14ac:dyDescent="0.25">
      <c r="A26" s="8" t="s">
        <v>35</v>
      </c>
      <c r="B26" s="8" t="s">
        <v>36</v>
      </c>
      <c r="C26" s="9">
        <f>-PMT(C10/12,C12-C11,C5*C6)</f>
        <v>786097.92316393298</v>
      </c>
    </row>
    <row r="27" spans="1:3" x14ac:dyDescent="0.25">
      <c r="A27" s="8" t="s">
        <v>37</v>
      </c>
      <c r="B27" s="8" t="s">
        <v>36</v>
      </c>
      <c r="C27" s="9">
        <f>C20/(C17*12)</f>
        <v>85382.513661202189</v>
      </c>
    </row>
    <row r="28" spans="1:3" x14ac:dyDescent="0.25">
      <c r="A28" s="8" t="s">
        <v>38</v>
      </c>
      <c r="B28" s="8" t="s">
        <v>36</v>
      </c>
      <c r="C28" s="9">
        <f>(C5-C5/(1+C13))/3</f>
        <v>3005464.4808743172</v>
      </c>
    </row>
  </sheetData>
  <mergeCells count="3">
    <mergeCell ref="A1:C1"/>
    <mergeCell ref="A18:C18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2"/>
  <sheetViews>
    <sheetView workbookViewId="0">
      <pane xSplit="3" ySplit="1" topLeftCell="D2" activePane="bottomRight" state="frozen"/>
      <selection pane="topRight"/>
      <selection pane="bottomLeft"/>
      <selection pane="bottomRight" activeCell="D8" sqref="D8"/>
    </sheetView>
  </sheetViews>
  <sheetFormatPr defaultRowHeight="15" x14ac:dyDescent="0.25"/>
  <cols>
    <col min="1" max="1" width="6" customWidth="1"/>
    <col min="2" max="2" width="10" customWidth="1"/>
    <col min="3" max="5" width="16" customWidth="1"/>
    <col min="6" max="9" width="14" customWidth="1"/>
    <col min="10" max="10" width="13" customWidth="1"/>
    <col min="11" max="14" width="14" customWidth="1"/>
    <col min="15" max="16" width="16" customWidth="1"/>
    <col min="17" max="18" width="13" customWidth="1"/>
    <col min="19" max="19" width="17" customWidth="1"/>
    <col min="20" max="20" width="16" customWidth="1"/>
    <col min="21" max="22" width="14" customWidth="1"/>
  </cols>
  <sheetData>
    <row r="1" spans="1:22" ht="30" customHeight="1" x14ac:dyDescent="0.25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0" t="s">
        <v>57</v>
      </c>
      <c r="T1" s="10" t="s">
        <v>58</v>
      </c>
      <c r="U1" s="10" t="s">
        <v>59</v>
      </c>
      <c r="V1" s="10" t="s">
        <v>60</v>
      </c>
    </row>
    <row r="2" spans="1:22" x14ac:dyDescent="0.25">
      <c r="A2" s="11">
        <v>1</v>
      </c>
      <c r="B2" s="11" t="s">
        <v>61</v>
      </c>
      <c r="C2" s="12" t="s">
        <v>62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f>T2*Параметры!$C$10/12</f>
        <v>111111.11111111112</v>
      </c>
      <c r="N2" s="13">
        <f t="shared" ref="N2:N7" si="0">-M2</f>
        <v>-111111.11111111112</v>
      </c>
      <c r="O2" s="13">
        <v>0</v>
      </c>
      <c r="P2" s="13">
        <v>0</v>
      </c>
      <c r="Q2" s="13">
        <f>Параметры!$C$5/Параметры!$C$11</f>
        <v>8333333.333333333</v>
      </c>
      <c r="R2" s="13">
        <f>Параметры!$C$22/Параметры!$C$11</f>
        <v>6666666.666666667</v>
      </c>
      <c r="S2" s="13">
        <v>0</v>
      </c>
      <c r="T2" s="13">
        <f>Параметры!$C$22/Параметры!$C$11*A2</f>
        <v>6666666.666666667</v>
      </c>
      <c r="U2" s="13">
        <f>-(Параметры!$C$23/Параметры!$C$11+M2)</f>
        <v>-1777777.7777777775</v>
      </c>
      <c r="V2" s="13">
        <f>U2</f>
        <v>-1777777.7777777775</v>
      </c>
    </row>
    <row r="3" spans="1:22" x14ac:dyDescent="0.25">
      <c r="A3" s="14">
        <v>2</v>
      </c>
      <c r="B3" s="14" t="s">
        <v>63</v>
      </c>
      <c r="C3" s="15" t="s">
        <v>62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f>T3*Параметры!$C$10/12</f>
        <v>222222.22222222225</v>
      </c>
      <c r="N3" s="9">
        <f t="shared" si="0"/>
        <v>-222222.22222222225</v>
      </c>
      <c r="O3" s="9">
        <v>0</v>
      </c>
      <c r="P3" s="9">
        <v>0</v>
      </c>
      <c r="Q3" s="9">
        <f>Параметры!$C$5/Параметры!$C$11</f>
        <v>8333333.333333333</v>
      </c>
      <c r="R3" s="9">
        <f>Параметры!$C$22/Параметры!$C$11</f>
        <v>6666666.666666667</v>
      </c>
      <c r="S3" s="9">
        <v>0</v>
      </c>
      <c r="T3" s="9">
        <f>Параметры!$C$22/Параметры!$C$11*A3</f>
        <v>13333333.333333334</v>
      </c>
      <c r="U3" s="9">
        <f>-(Параметры!$C$23/Параметры!$C$11+M3)</f>
        <v>-1888888.8888888885</v>
      </c>
      <c r="V3" s="9">
        <f t="shared" ref="V3:V34" si="1">V2+U3</f>
        <v>-3666666.666666666</v>
      </c>
    </row>
    <row r="4" spans="1:22" x14ac:dyDescent="0.25">
      <c r="A4" s="11">
        <v>3</v>
      </c>
      <c r="B4" s="11" t="s">
        <v>64</v>
      </c>
      <c r="C4" s="12" t="s">
        <v>62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f>T4*Параметры!$C$10/12</f>
        <v>333333.33333333331</v>
      </c>
      <c r="N4" s="13">
        <f t="shared" si="0"/>
        <v>-333333.33333333331</v>
      </c>
      <c r="O4" s="13">
        <v>0</v>
      </c>
      <c r="P4" s="13">
        <v>0</v>
      </c>
      <c r="Q4" s="13">
        <f>Параметры!$C$5/Параметры!$C$11</f>
        <v>8333333.333333333</v>
      </c>
      <c r="R4" s="13">
        <f>Параметры!$C$22/Параметры!$C$11</f>
        <v>6666666.666666667</v>
      </c>
      <c r="S4" s="13">
        <v>0</v>
      </c>
      <c r="T4" s="13">
        <f>Параметры!$C$22/Параметры!$C$11*A4</f>
        <v>20000000</v>
      </c>
      <c r="U4" s="13">
        <f>-(Параметры!$C$23/Параметры!$C$11+M4)</f>
        <v>-1999999.9999999995</v>
      </c>
      <c r="V4" s="13">
        <f t="shared" si="1"/>
        <v>-5666666.666666666</v>
      </c>
    </row>
    <row r="5" spans="1:22" x14ac:dyDescent="0.25">
      <c r="A5" s="14">
        <v>4</v>
      </c>
      <c r="B5" s="14" t="s">
        <v>65</v>
      </c>
      <c r="C5" s="15" t="s">
        <v>62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f>T5*Параметры!$C$10/12</f>
        <v>444444.4444444445</v>
      </c>
      <c r="N5" s="9">
        <f t="shared" si="0"/>
        <v>-444444.4444444445</v>
      </c>
      <c r="O5" s="9">
        <v>0</v>
      </c>
      <c r="P5" s="9">
        <v>0</v>
      </c>
      <c r="Q5" s="9">
        <f>Параметры!$C$5/Параметры!$C$11</f>
        <v>8333333.333333333</v>
      </c>
      <c r="R5" s="9">
        <f>Параметры!$C$22/Параметры!$C$11</f>
        <v>6666666.666666667</v>
      </c>
      <c r="S5" s="9">
        <v>0</v>
      </c>
      <c r="T5" s="9">
        <f>Параметры!$C$22/Параметры!$C$11*A5</f>
        <v>26666666.666666668</v>
      </c>
      <c r="U5" s="9">
        <f>-(Параметры!$C$23/Параметры!$C$11+M5)</f>
        <v>-2111111.111111111</v>
      </c>
      <c r="V5" s="9">
        <f t="shared" si="1"/>
        <v>-7777777.7777777771</v>
      </c>
    </row>
    <row r="6" spans="1:22" x14ac:dyDescent="0.25">
      <c r="A6" s="11">
        <v>5</v>
      </c>
      <c r="B6" s="11" t="s">
        <v>66</v>
      </c>
      <c r="C6" s="12" t="s">
        <v>62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f>T6*Параметры!$C$10/12</f>
        <v>555555.55555555562</v>
      </c>
      <c r="N6" s="13">
        <f t="shared" si="0"/>
        <v>-555555.55555555562</v>
      </c>
      <c r="O6" s="13">
        <v>0</v>
      </c>
      <c r="P6" s="13">
        <v>0</v>
      </c>
      <c r="Q6" s="13">
        <f>Параметры!$C$5/Параметры!$C$11</f>
        <v>8333333.333333333</v>
      </c>
      <c r="R6" s="13">
        <f>Параметры!$C$22/Параметры!$C$11</f>
        <v>6666666.666666667</v>
      </c>
      <c r="S6" s="13">
        <v>0</v>
      </c>
      <c r="T6" s="13">
        <f>Параметры!$C$22/Параметры!$C$11*A6</f>
        <v>33333333.333333336</v>
      </c>
      <c r="U6" s="13">
        <f>-(Параметры!$C$23/Параметры!$C$11+M6)</f>
        <v>-2222222.222222222</v>
      </c>
      <c r="V6" s="13">
        <f t="shared" si="1"/>
        <v>-10000000</v>
      </c>
    </row>
    <row r="7" spans="1:22" x14ac:dyDescent="0.25">
      <c r="A7" s="14">
        <v>6</v>
      </c>
      <c r="B7" s="14" t="s">
        <v>67</v>
      </c>
      <c r="C7" s="15" t="s">
        <v>62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f>T7*Параметры!$C$10/12</f>
        <v>666666.66666666663</v>
      </c>
      <c r="N7" s="9">
        <f t="shared" si="0"/>
        <v>-666666.66666666663</v>
      </c>
      <c r="O7" s="9">
        <v>0</v>
      </c>
      <c r="P7" s="9">
        <v>0</v>
      </c>
      <c r="Q7" s="9">
        <f>Параметры!$C$5/Параметры!$C$11</f>
        <v>8333333.333333333</v>
      </c>
      <c r="R7" s="9">
        <f>Параметры!$C$22/Параметры!$C$11</f>
        <v>6666666.666666667</v>
      </c>
      <c r="S7" s="9">
        <v>0</v>
      </c>
      <c r="T7" s="9">
        <f>Параметры!$C$22/Параметры!$C$11*A7</f>
        <v>40000000</v>
      </c>
      <c r="U7" s="9">
        <f>-(Параметры!$C$23/Параметры!$C$11+M7)</f>
        <v>-2333333.333333333</v>
      </c>
      <c r="V7" s="9">
        <f t="shared" si="1"/>
        <v>-12333333.333333332</v>
      </c>
    </row>
    <row r="8" spans="1:22" x14ac:dyDescent="0.25">
      <c r="A8" s="11">
        <v>7</v>
      </c>
      <c r="B8" s="11" t="s">
        <v>68</v>
      </c>
      <c r="C8" s="12" t="s">
        <v>69</v>
      </c>
      <c r="D8" s="13">
        <f>Параметры!$C$4*Параметры!$C$7*(1+Параметры!$C$8)^INT((A8-Параметры!$C$11-1)/12)</f>
        <v>1200000</v>
      </c>
      <c r="E8" s="13">
        <f>D8/(1+Параметры!$C$13)</f>
        <v>983606.55737704923</v>
      </c>
      <c r="F8" s="13">
        <f t="shared" ref="F8:F39" si="2">D8-E8</f>
        <v>216393.44262295077</v>
      </c>
      <c r="G8" s="13">
        <f>IF(AND(A8&gt;Параметры!$C$11,A8&lt;=Параметры!$C$11+3),Параметры!$C$28,0)</f>
        <v>3005464.4808743172</v>
      </c>
      <c r="H8" s="13">
        <f t="shared" ref="H8:H39" si="3">F8-G8</f>
        <v>-2789071.0382513665</v>
      </c>
      <c r="I8" s="13">
        <f>E8*Параметры!$C$16</f>
        <v>147540.98360655739</v>
      </c>
      <c r="J8" s="13">
        <f>Параметры!$C$27</f>
        <v>85382.513661202189</v>
      </c>
      <c r="K8" s="13">
        <f>MAX(0,Параметры!$C$20-Параметры!$C$27*MAX(0,A8-Параметры!$C$11-1))*Параметры!$C$15/12</f>
        <v>75136.612021857916</v>
      </c>
      <c r="L8" s="13">
        <f t="shared" ref="L8:L39" si="4">E8-I8-J8-K8</f>
        <v>675546.44808743184</v>
      </c>
      <c r="M8" s="13">
        <f>T7*Параметры!$C$10/12</f>
        <v>666666.66666666663</v>
      </c>
      <c r="N8" s="13">
        <f t="shared" ref="N8:N39" si="5">L8-M8</f>
        <v>8879.7814207652118</v>
      </c>
      <c r="O8" s="13">
        <f>MAX(0,N8*Параметры!$C$14)</f>
        <v>1775.9562841530424</v>
      </c>
      <c r="P8" s="13">
        <f t="shared" ref="P8:P39" si="6">N8-O8</f>
        <v>7103.8251366121694</v>
      </c>
      <c r="Q8" s="13">
        <v>0</v>
      </c>
      <c r="R8" s="13">
        <v>0</v>
      </c>
      <c r="S8" s="13">
        <f>MAX(0,MIN(Параметры!$C$26-M8,T7))</f>
        <v>119431.25649726635</v>
      </c>
      <c r="T8" s="13">
        <f t="shared" ref="T8:T39" si="7">MAX(0,T7-S8)</f>
        <v>39880568.743502736</v>
      </c>
      <c r="U8" s="13">
        <f t="shared" ref="U8:U39" si="8">P8+J8-S8-H8</f>
        <v>2762126.1205519144</v>
      </c>
      <c r="V8" s="13">
        <f t="shared" si="1"/>
        <v>-9571207.2127814181</v>
      </c>
    </row>
    <row r="9" spans="1:22" x14ac:dyDescent="0.25">
      <c r="A9" s="14">
        <v>8</v>
      </c>
      <c r="B9" s="14" t="s">
        <v>70</v>
      </c>
      <c r="C9" s="15" t="s">
        <v>69</v>
      </c>
      <c r="D9" s="9">
        <f>Параметры!$C$4*Параметры!$C$7*(1+Параметры!$C$8)^INT((A9-Параметры!$C$11-1)/12)</f>
        <v>1200000</v>
      </c>
      <c r="E9" s="9">
        <f>D9/(1+Параметры!$C$13)</f>
        <v>983606.55737704923</v>
      </c>
      <c r="F9" s="9">
        <f t="shared" si="2"/>
        <v>216393.44262295077</v>
      </c>
      <c r="G9" s="9">
        <f>IF(AND(A9&gt;Параметры!$C$11,A9&lt;=Параметры!$C$11+3),Параметры!$C$28,0)</f>
        <v>3005464.4808743172</v>
      </c>
      <c r="H9" s="9">
        <f t="shared" si="3"/>
        <v>-2789071.0382513665</v>
      </c>
      <c r="I9" s="9">
        <f>E9*Параметры!$C$16</f>
        <v>147540.98360655739</v>
      </c>
      <c r="J9" s="9">
        <f>Параметры!$C$27</f>
        <v>85382.513661202189</v>
      </c>
      <c r="K9" s="9">
        <f>MAX(0,Параметры!$C$20-Параметры!$C$27*MAX(0,A9-Параметры!$C$11-1))*Параметры!$C$15/12</f>
        <v>74980.077413479041</v>
      </c>
      <c r="L9" s="9">
        <f t="shared" si="4"/>
        <v>675702.98269581073</v>
      </c>
      <c r="M9" s="9">
        <f>T8*Параметры!$C$10/12</f>
        <v>664676.1457250457</v>
      </c>
      <c r="N9" s="9">
        <f t="shared" si="5"/>
        <v>11026.836970765027</v>
      </c>
      <c r="O9" s="9">
        <f>MAX(0,N9*Параметры!$C$14)</f>
        <v>2205.3673941530055</v>
      </c>
      <c r="P9" s="9">
        <f t="shared" si="6"/>
        <v>8821.4695766120221</v>
      </c>
      <c r="Q9" s="9">
        <v>0</v>
      </c>
      <c r="R9" s="9">
        <v>0</v>
      </c>
      <c r="S9" s="9">
        <f>MAX(0,MIN(Параметры!$C$26-M9,T8))</f>
        <v>121421.77743888728</v>
      </c>
      <c r="T9" s="9">
        <f t="shared" si="7"/>
        <v>39759146.96606385</v>
      </c>
      <c r="U9" s="9">
        <f t="shared" si="8"/>
        <v>2761853.2440502932</v>
      </c>
      <c r="V9" s="9">
        <f t="shared" si="1"/>
        <v>-6809353.9687311249</v>
      </c>
    </row>
    <row r="10" spans="1:22" x14ac:dyDescent="0.25">
      <c r="A10" s="11">
        <v>9</v>
      </c>
      <c r="B10" s="11" t="s">
        <v>71</v>
      </c>
      <c r="C10" s="12" t="s">
        <v>69</v>
      </c>
      <c r="D10" s="13">
        <f>Параметры!$C$4*Параметры!$C$7*(1+Параметры!$C$8)^INT((A10-Параметры!$C$11-1)/12)</f>
        <v>1200000</v>
      </c>
      <c r="E10" s="13">
        <f>D10/(1+Параметры!$C$13)</f>
        <v>983606.55737704923</v>
      </c>
      <c r="F10" s="13">
        <f t="shared" si="2"/>
        <v>216393.44262295077</v>
      </c>
      <c r="G10" s="13">
        <f>IF(AND(A10&gt;Параметры!$C$11,A10&lt;=Параметры!$C$11+3),Параметры!$C$28,0)</f>
        <v>3005464.4808743172</v>
      </c>
      <c r="H10" s="13">
        <f t="shared" si="3"/>
        <v>-2789071.0382513665</v>
      </c>
      <c r="I10" s="13">
        <f>E10*Параметры!$C$16</f>
        <v>147540.98360655739</v>
      </c>
      <c r="J10" s="13">
        <f>Параметры!$C$27</f>
        <v>85382.513661202189</v>
      </c>
      <c r="K10" s="13">
        <f>MAX(0,Параметры!$C$20-Параметры!$C$27*MAX(0,A10-Параметры!$C$11-1))*Параметры!$C$15/12</f>
        <v>74823.54280510018</v>
      </c>
      <c r="L10" s="13">
        <f t="shared" si="4"/>
        <v>675859.5173041895</v>
      </c>
      <c r="M10" s="13">
        <f>T9*Параметры!$C$10/12</f>
        <v>662652.44943439751</v>
      </c>
      <c r="N10" s="13">
        <f t="shared" si="5"/>
        <v>13207.067869791994</v>
      </c>
      <c r="O10" s="13">
        <f>MAX(0,N10*Параметры!$C$14)</f>
        <v>2641.413573958399</v>
      </c>
      <c r="P10" s="13">
        <f t="shared" si="6"/>
        <v>10565.654295833596</v>
      </c>
      <c r="Q10" s="13">
        <v>0</v>
      </c>
      <c r="R10" s="13">
        <v>0</v>
      </c>
      <c r="S10" s="13">
        <f>MAX(0,MIN(Параметры!$C$26-M10,T9))</f>
        <v>123445.47372953547</v>
      </c>
      <c r="T10" s="13">
        <f t="shared" si="7"/>
        <v>39635701.492334314</v>
      </c>
      <c r="U10" s="13">
        <f t="shared" si="8"/>
        <v>2761573.7324788668</v>
      </c>
      <c r="V10" s="13">
        <f t="shared" si="1"/>
        <v>-4047780.2362522581</v>
      </c>
    </row>
    <row r="11" spans="1:22" x14ac:dyDescent="0.25">
      <c r="A11" s="14">
        <v>10</v>
      </c>
      <c r="B11" s="14" t="s">
        <v>72</v>
      </c>
      <c r="C11" s="15" t="s">
        <v>69</v>
      </c>
      <c r="D11" s="9">
        <f>Параметры!$C$4*Параметры!$C$7*(1+Параметры!$C$8)^INT((A11-Параметры!$C$11-1)/12)</f>
        <v>1200000</v>
      </c>
      <c r="E11" s="9">
        <f>D11/(1+Параметры!$C$13)</f>
        <v>983606.55737704923</v>
      </c>
      <c r="F11" s="9">
        <f t="shared" si="2"/>
        <v>216393.44262295077</v>
      </c>
      <c r="G11" s="9">
        <f>IF(AND(A11&gt;Параметры!$C$11,A11&lt;=Параметры!$C$11+3),Параметры!$C$28,0)</f>
        <v>0</v>
      </c>
      <c r="H11" s="9">
        <f t="shared" si="3"/>
        <v>216393.44262295077</v>
      </c>
      <c r="I11" s="9">
        <f>E11*Параметры!$C$16</f>
        <v>147540.98360655739</v>
      </c>
      <c r="J11" s="9">
        <f>Параметры!$C$27</f>
        <v>85382.513661202189</v>
      </c>
      <c r="K11" s="9">
        <f>MAX(0,Параметры!$C$20-Параметры!$C$27*MAX(0,A11-Параметры!$C$11-1))*Параметры!$C$15/12</f>
        <v>74667.008196721305</v>
      </c>
      <c r="L11" s="9">
        <f t="shared" si="4"/>
        <v>676016.05191256839</v>
      </c>
      <c r="M11" s="9">
        <f>T10*Параметры!$C$10/12</f>
        <v>660595.02487223863</v>
      </c>
      <c r="N11" s="9">
        <f t="shared" si="5"/>
        <v>15421.027040329762</v>
      </c>
      <c r="O11" s="9">
        <f>MAX(0,N11*Параметры!$C$14)</f>
        <v>3084.2054080659527</v>
      </c>
      <c r="P11" s="9">
        <f t="shared" si="6"/>
        <v>12336.821632263809</v>
      </c>
      <c r="Q11" s="9">
        <v>0</v>
      </c>
      <c r="R11" s="9">
        <v>0</v>
      </c>
      <c r="S11" s="9">
        <f>MAX(0,MIN(Параметры!$C$26-M11,T10))</f>
        <v>125502.89829169435</v>
      </c>
      <c r="T11" s="9">
        <f t="shared" si="7"/>
        <v>39510198.594042622</v>
      </c>
      <c r="U11" s="9">
        <f t="shared" si="8"/>
        <v>-244177.00562117912</v>
      </c>
      <c r="V11" s="9">
        <f t="shared" si="1"/>
        <v>-4291957.2418734375</v>
      </c>
    </row>
    <row r="12" spans="1:22" x14ac:dyDescent="0.25">
      <c r="A12" s="11">
        <v>11</v>
      </c>
      <c r="B12" s="11" t="s">
        <v>73</v>
      </c>
      <c r="C12" s="12" t="s">
        <v>69</v>
      </c>
      <c r="D12" s="13">
        <f>Параметры!$C$4*Параметры!$C$7*(1+Параметры!$C$8)^INT((A12-Параметры!$C$11-1)/12)</f>
        <v>1200000</v>
      </c>
      <c r="E12" s="13">
        <f>D12/(1+Параметры!$C$13)</f>
        <v>983606.55737704923</v>
      </c>
      <c r="F12" s="13">
        <f t="shared" si="2"/>
        <v>216393.44262295077</v>
      </c>
      <c r="G12" s="13">
        <f>IF(AND(A12&gt;Параметры!$C$11,A12&lt;=Параметры!$C$11+3),Параметры!$C$28,0)</f>
        <v>0</v>
      </c>
      <c r="H12" s="13">
        <f t="shared" si="3"/>
        <v>216393.44262295077</v>
      </c>
      <c r="I12" s="13">
        <f>E12*Параметры!$C$16</f>
        <v>147540.98360655739</v>
      </c>
      <c r="J12" s="13">
        <f>Параметры!$C$27</f>
        <v>85382.513661202189</v>
      </c>
      <c r="K12" s="13">
        <f>MAX(0,Параметры!$C$20-Параметры!$C$27*MAX(0,A12-Параметры!$C$11-1))*Параметры!$C$15/12</f>
        <v>74510.473588342444</v>
      </c>
      <c r="L12" s="13">
        <f t="shared" si="4"/>
        <v>676172.58652094728</v>
      </c>
      <c r="M12" s="13">
        <f>T11*Параметры!$C$10/12</f>
        <v>658503.30990071036</v>
      </c>
      <c r="N12" s="13">
        <f t="shared" si="5"/>
        <v>17669.276620236924</v>
      </c>
      <c r="O12" s="13">
        <f>MAX(0,N12*Параметры!$C$14)</f>
        <v>3533.8553240473848</v>
      </c>
      <c r="P12" s="13">
        <f t="shared" si="6"/>
        <v>14135.421296189539</v>
      </c>
      <c r="Q12" s="13">
        <v>0</v>
      </c>
      <c r="R12" s="13">
        <v>0</v>
      </c>
      <c r="S12" s="13">
        <f>MAX(0,MIN(Параметры!$C$26-M12,T11))</f>
        <v>127594.61326322262</v>
      </c>
      <c r="T12" s="13">
        <f t="shared" si="7"/>
        <v>39382603.980779402</v>
      </c>
      <c r="U12" s="13">
        <f t="shared" si="8"/>
        <v>-244470.12092878166</v>
      </c>
      <c r="V12" s="13">
        <f t="shared" si="1"/>
        <v>-4536427.3628022196</v>
      </c>
    </row>
    <row r="13" spans="1:22" x14ac:dyDescent="0.25">
      <c r="A13" s="14">
        <v>12</v>
      </c>
      <c r="B13" s="14" t="s">
        <v>74</v>
      </c>
      <c r="C13" s="15" t="s">
        <v>69</v>
      </c>
      <c r="D13" s="9">
        <f>Параметры!$C$4*Параметры!$C$7*(1+Параметры!$C$8)^INT((A13-Параметры!$C$11-1)/12)</f>
        <v>1200000</v>
      </c>
      <c r="E13" s="9">
        <f>D13/(1+Параметры!$C$13)</f>
        <v>983606.55737704923</v>
      </c>
      <c r="F13" s="9">
        <f t="shared" si="2"/>
        <v>216393.44262295077</v>
      </c>
      <c r="G13" s="9">
        <f>IF(AND(A13&gt;Параметры!$C$11,A13&lt;=Параметры!$C$11+3),Параметры!$C$28,0)</f>
        <v>0</v>
      </c>
      <c r="H13" s="9">
        <f t="shared" si="3"/>
        <v>216393.44262295077</v>
      </c>
      <c r="I13" s="9">
        <f>E13*Параметры!$C$16</f>
        <v>147540.98360655739</v>
      </c>
      <c r="J13" s="9">
        <f>Параметры!$C$27</f>
        <v>85382.513661202189</v>
      </c>
      <c r="K13" s="9">
        <f>MAX(0,Параметры!$C$20-Параметры!$C$27*MAX(0,A13-Параметры!$C$11-1))*Параметры!$C$15/12</f>
        <v>74353.938979963554</v>
      </c>
      <c r="L13" s="9">
        <f t="shared" si="4"/>
        <v>676329.12112932617</v>
      </c>
      <c r="M13" s="9">
        <f>T12*Параметры!$C$10/12</f>
        <v>656376.73301299009</v>
      </c>
      <c r="N13" s="9">
        <f t="shared" si="5"/>
        <v>19952.388116336078</v>
      </c>
      <c r="O13" s="9">
        <f>MAX(0,N13*Параметры!$C$14)</f>
        <v>3990.4776232672157</v>
      </c>
      <c r="P13" s="9">
        <f t="shared" si="6"/>
        <v>15961.910493068863</v>
      </c>
      <c r="Q13" s="9">
        <v>0</v>
      </c>
      <c r="R13" s="9">
        <v>0</v>
      </c>
      <c r="S13" s="9">
        <f>MAX(0,MIN(Параметры!$C$26-M13,T12))</f>
        <v>129721.19015094289</v>
      </c>
      <c r="T13" s="9">
        <f t="shared" si="7"/>
        <v>39252882.790628456</v>
      </c>
      <c r="U13" s="9">
        <f t="shared" si="8"/>
        <v>-244770.2086196226</v>
      </c>
      <c r="V13" s="9">
        <f t="shared" si="1"/>
        <v>-4781197.5714218421</v>
      </c>
    </row>
    <row r="14" spans="1:22" x14ac:dyDescent="0.25">
      <c r="A14" s="11">
        <v>13</v>
      </c>
      <c r="B14" s="11" t="s">
        <v>75</v>
      </c>
      <c r="C14" s="12" t="s">
        <v>69</v>
      </c>
      <c r="D14" s="13">
        <f>Параметры!$C$4*Параметры!$C$7*(1+Параметры!$C$8)^INT((A14-Параметры!$C$11-1)/12)</f>
        <v>1200000</v>
      </c>
      <c r="E14" s="13">
        <f>D14/(1+Параметры!$C$13)</f>
        <v>983606.55737704923</v>
      </c>
      <c r="F14" s="13">
        <f t="shared" si="2"/>
        <v>216393.44262295077</v>
      </c>
      <c r="G14" s="13">
        <f>IF(AND(A14&gt;Параметры!$C$11,A14&lt;=Параметры!$C$11+3),Параметры!$C$28,0)</f>
        <v>0</v>
      </c>
      <c r="H14" s="13">
        <f t="shared" si="3"/>
        <v>216393.44262295077</v>
      </c>
      <c r="I14" s="13">
        <f>E14*Параметры!$C$16</f>
        <v>147540.98360655739</v>
      </c>
      <c r="J14" s="13">
        <f>Параметры!$C$27</f>
        <v>85382.513661202189</v>
      </c>
      <c r="K14" s="13">
        <f>MAX(0,Параметры!$C$20-Параметры!$C$27*MAX(0,A14-Параметры!$C$11-1))*Параметры!$C$15/12</f>
        <v>74197.404371584693</v>
      </c>
      <c r="L14" s="13">
        <f t="shared" si="4"/>
        <v>676485.65573770506</v>
      </c>
      <c r="M14" s="13">
        <f>T13*Параметры!$C$10/12</f>
        <v>654214.71317714092</v>
      </c>
      <c r="N14" s="13">
        <f t="shared" si="5"/>
        <v>22270.942560564145</v>
      </c>
      <c r="O14" s="13">
        <f>MAX(0,N14*Параметры!$C$14)</f>
        <v>4454.1885121128289</v>
      </c>
      <c r="P14" s="13">
        <f t="shared" si="6"/>
        <v>17816.754048451316</v>
      </c>
      <c r="Q14" s="13">
        <v>0</v>
      </c>
      <c r="R14" s="13">
        <v>0</v>
      </c>
      <c r="S14" s="13">
        <f>MAX(0,MIN(Параметры!$C$26-M14,T13))</f>
        <v>131883.20998679206</v>
      </c>
      <c r="T14" s="13">
        <f t="shared" si="7"/>
        <v>39120999.580641665</v>
      </c>
      <c r="U14" s="13">
        <f t="shared" si="8"/>
        <v>-245077.38490008932</v>
      </c>
      <c r="V14" s="13">
        <f t="shared" si="1"/>
        <v>-5026274.9563219314</v>
      </c>
    </row>
    <row r="15" spans="1:22" x14ac:dyDescent="0.25">
      <c r="A15" s="14">
        <v>14</v>
      </c>
      <c r="B15" s="14" t="s">
        <v>76</v>
      </c>
      <c r="C15" s="15" t="s">
        <v>69</v>
      </c>
      <c r="D15" s="9">
        <f>Параметры!$C$4*Параметры!$C$7*(1+Параметры!$C$8)^INT((A15-Параметры!$C$11-1)/12)</f>
        <v>1200000</v>
      </c>
      <c r="E15" s="9">
        <f>D15/(1+Параметры!$C$13)</f>
        <v>983606.55737704923</v>
      </c>
      <c r="F15" s="9">
        <f t="shared" si="2"/>
        <v>216393.44262295077</v>
      </c>
      <c r="G15" s="9">
        <f>IF(AND(A15&gt;Параметры!$C$11,A15&lt;=Параметры!$C$11+3),Параметры!$C$28,0)</f>
        <v>0</v>
      </c>
      <c r="H15" s="9">
        <f t="shared" si="3"/>
        <v>216393.44262295077</v>
      </c>
      <c r="I15" s="9">
        <f>E15*Параметры!$C$16</f>
        <v>147540.98360655739</v>
      </c>
      <c r="J15" s="9">
        <f>Параметры!$C$27</f>
        <v>85382.513661202189</v>
      </c>
      <c r="K15" s="9">
        <f>MAX(0,Параметры!$C$20-Параметры!$C$27*MAX(0,A15-Параметры!$C$11-1))*Параметры!$C$15/12</f>
        <v>74040.869763205817</v>
      </c>
      <c r="L15" s="9">
        <f t="shared" si="4"/>
        <v>676642.19034608384</v>
      </c>
      <c r="M15" s="9">
        <f>T14*Параметры!$C$10/12</f>
        <v>652016.65967736114</v>
      </c>
      <c r="N15" s="9">
        <f t="shared" si="5"/>
        <v>24625.530668722698</v>
      </c>
      <c r="O15" s="9">
        <f>MAX(0,N15*Параметры!$C$14)</f>
        <v>4925.1061337445399</v>
      </c>
      <c r="P15" s="9">
        <f t="shared" si="6"/>
        <v>19700.424534978159</v>
      </c>
      <c r="Q15" s="9">
        <v>0</v>
      </c>
      <c r="R15" s="9">
        <v>0</v>
      </c>
      <c r="S15" s="9">
        <f>MAX(0,MIN(Параметры!$C$26-M15,T14))</f>
        <v>134081.26348657184</v>
      </c>
      <c r="T15" s="9">
        <f t="shared" si="7"/>
        <v>38986918.317155093</v>
      </c>
      <c r="U15" s="9">
        <f t="shared" si="8"/>
        <v>-245391.76791334228</v>
      </c>
      <c r="V15" s="9">
        <f t="shared" si="1"/>
        <v>-5271666.7242352739</v>
      </c>
    </row>
    <row r="16" spans="1:22" x14ac:dyDescent="0.25">
      <c r="A16" s="11">
        <v>15</v>
      </c>
      <c r="B16" s="11" t="s">
        <v>77</v>
      </c>
      <c r="C16" s="12" t="s">
        <v>69</v>
      </c>
      <c r="D16" s="13">
        <f>Параметры!$C$4*Параметры!$C$7*(1+Параметры!$C$8)^INT((A16-Параметры!$C$11-1)/12)</f>
        <v>1200000</v>
      </c>
      <c r="E16" s="13">
        <f>D16/(1+Параметры!$C$13)</f>
        <v>983606.55737704923</v>
      </c>
      <c r="F16" s="13">
        <f t="shared" si="2"/>
        <v>216393.44262295077</v>
      </c>
      <c r="G16" s="13">
        <f>IF(AND(A16&gt;Параметры!$C$11,A16&lt;=Параметры!$C$11+3),Параметры!$C$28,0)</f>
        <v>0</v>
      </c>
      <c r="H16" s="13">
        <f t="shared" si="3"/>
        <v>216393.44262295077</v>
      </c>
      <c r="I16" s="13">
        <f>E16*Параметры!$C$16</f>
        <v>147540.98360655739</v>
      </c>
      <c r="J16" s="13">
        <f>Параметры!$C$27</f>
        <v>85382.513661202189</v>
      </c>
      <c r="K16" s="13">
        <f>MAX(0,Параметры!$C$20-Параметры!$C$27*MAX(0,A16-Параметры!$C$11-1))*Параметры!$C$15/12</f>
        <v>73884.335154826957</v>
      </c>
      <c r="L16" s="13">
        <f t="shared" si="4"/>
        <v>676798.72495446273</v>
      </c>
      <c r="M16" s="13">
        <f>T15*Параметры!$C$10/12</f>
        <v>649781.97195258492</v>
      </c>
      <c r="N16" s="13">
        <f t="shared" si="5"/>
        <v>27016.753001877805</v>
      </c>
      <c r="O16" s="13">
        <f>MAX(0,N16*Параметры!$C$14)</f>
        <v>5403.350600375561</v>
      </c>
      <c r="P16" s="13">
        <f t="shared" si="6"/>
        <v>21613.402401502244</v>
      </c>
      <c r="Q16" s="13">
        <v>0</v>
      </c>
      <c r="R16" s="13">
        <v>0</v>
      </c>
      <c r="S16" s="13">
        <f>MAX(0,MIN(Параметры!$C$26-M16,T15))</f>
        <v>136315.95121134806</v>
      </c>
      <c r="T16" s="13">
        <f t="shared" si="7"/>
        <v>38850602.365943745</v>
      </c>
      <c r="U16" s="13">
        <f t="shared" si="8"/>
        <v>-245713.47777159439</v>
      </c>
      <c r="V16" s="13">
        <f t="shared" si="1"/>
        <v>-5517380.2020068681</v>
      </c>
    </row>
    <row r="17" spans="1:22" x14ac:dyDescent="0.25">
      <c r="A17" s="14">
        <v>16</v>
      </c>
      <c r="B17" s="14" t="s">
        <v>78</v>
      </c>
      <c r="C17" s="15" t="s">
        <v>69</v>
      </c>
      <c r="D17" s="9">
        <f>Параметры!$C$4*Параметры!$C$7*(1+Параметры!$C$8)^INT((A17-Параметры!$C$11-1)/12)</f>
        <v>1200000</v>
      </c>
      <c r="E17" s="9">
        <f>D17/(1+Параметры!$C$13)</f>
        <v>983606.55737704923</v>
      </c>
      <c r="F17" s="9">
        <f t="shared" si="2"/>
        <v>216393.44262295077</v>
      </c>
      <c r="G17" s="9">
        <f>IF(AND(A17&gt;Параметры!$C$11,A17&lt;=Параметры!$C$11+3),Параметры!$C$28,0)</f>
        <v>0</v>
      </c>
      <c r="H17" s="9">
        <f t="shared" si="3"/>
        <v>216393.44262295077</v>
      </c>
      <c r="I17" s="9">
        <f>E17*Параметры!$C$16</f>
        <v>147540.98360655739</v>
      </c>
      <c r="J17" s="9">
        <f>Параметры!$C$27</f>
        <v>85382.513661202189</v>
      </c>
      <c r="K17" s="9">
        <f>MAX(0,Параметры!$C$20-Параметры!$C$27*MAX(0,A17-Параметры!$C$11-1))*Параметры!$C$15/12</f>
        <v>73727.800546448081</v>
      </c>
      <c r="L17" s="9">
        <f t="shared" si="4"/>
        <v>676955.25956284162</v>
      </c>
      <c r="M17" s="9">
        <f>T16*Параметры!$C$10/12</f>
        <v>647510.03943239583</v>
      </c>
      <c r="N17" s="9">
        <f t="shared" si="5"/>
        <v>29445.220130445785</v>
      </c>
      <c r="O17" s="9">
        <f>MAX(0,N17*Параметры!$C$14)</f>
        <v>5889.0440260891573</v>
      </c>
      <c r="P17" s="9">
        <f t="shared" si="6"/>
        <v>23556.176104356629</v>
      </c>
      <c r="Q17" s="9">
        <v>0</v>
      </c>
      <c r="R17" s="9">
        <v>0</v>
      </c>
      <c r="S17" s="9">
        <f>MAX(0,MIN(Параметры!$C$26-M17,T16))</f>
        <v>138587.88373153715</v>
      </c>
      <c r="T17" s="9">
        <f t="shared" si="7"/>
        <v>38712014.482212208</v>
      </c>
      <c r="U17" s="9">
        <f t="shared" si="8"/>
        <v>-246042.6365889291</v>
      </c>
      <c r="V17" s="9">
        <f t="shared" si="1"/>
        <v>-5763422.8385957973</v>
      </c>
    </row>
    <row r="18" spans="1:22" x14ac:dyDescent="0.25">
      <c r="A18" s="11">
        <v>17</v>
      </c>
      <c r="B18" s="11" t="s">
        <v>79</v>
      </c>
      <c r="C18" s="12" t="s">
        <v>69</v>
      </c>
      <c r="D18" s="13">
        <f>Параметры!$C$4*Параметры!$C$7*(1+Параметры!$C$8)^INT((A18-Параметры!$C$11-1)/12)</f>
        <v>1200000</v>
      </c>
      <c r="E18" s="13">
        <f>D18/(1+Параметры!$C$13)</f>
        <v>983606.55737704923</v>
      </c>
      <c r="F18" s="13">
        <f t="shared" si="2"/>
        <v>216393.44262295077</v>
      </c>
      <c r="G18" s="13">
        <f>IF(AND(A18&gt;Параметры!$C$11,A18&lt;=Параметры!$C$11+3),Параметры!$C$28,0)</f>
        <v>0</v>
      </c>
      <c r="H18" s="13">
        <f t="shared" si="3"/>
        <v>216393.44262295077</v>
      </c>
      <c r="I18" s="13">
        <f>E18*Параметры!$C$16</f>
        <v>147540.98360655739</v>
      </c>
      <c r="J18" s="13">
        <f>Параметры!$C$27</f>
        <v>85382.513661202189</v>
      </c>
      <c r="K18" s="13">
        <f>MAX(0,Параметры!$C$20-Параметры!$C$27*MAX(0,A18-Параметры!$C$11-1))*Параметры!$C$15/12</f>
        <v>73571.26593806922</v>
      </c>
      <c r="L18" s="13">
        <f t="shared" si="4"/>
        <v>677111.79417122051</v>
      </c>
      <c r="M18" s="13">
        <f>T17*Параметры!$C$10/12</f>
        <v>645200.24137020356</v>
      </c>
      <c r="N18" s="13">
        <f t="shared" si="5"/>
        <v>31911.552801016951</v>
      </c>
      <c r="O18" s="13">
        <f>MAX(0,N18*Параметры!$C$14)</f>
        <v>6382.3105602033902</v>
      </c>
      <c r="P18" s="13">
        <f t="shared" si="6"/>
        <v>25529.242240813561</v>
      </c>
      <c r="Q18" s="13">
        <v>0</v>
      </c>
      <c r="R18" s="13">
        <v>0</v>
      </c>
      <c r="S18" s="13">
        <f>MAX(0,MIN(Параметры!$C$26-M18,T17))</f>
        <v>140897.68179372943</v>
      </c>
      <c r="T18" s="13">
        <f t="shared" si="7"/>
        <v>38571116.800418481</v>
      </c>
      <c r="U18" s="13">
        <f t="shared" si="8"/>
        <v>-246379.36851466444</v>
      </c>
      <c r="V18" s="13">
        <f t="shared" si="1"/>
        <v>-6009802.2071104618</v>
      </c>
    </row>
    <row r="19" spans="1:22" x14ac:dyDescent="0.25">
      <c r="A19" s="14">
        <v>18</v>
      </c>
      <c r="B19" s="14" t="s">
        <v>80</v>
      </c>
      <c r="C19" s="15" t="s">
        <v>69</v>
      </c>
      <c r="D19" s="9">
        <f>Параметры!$C$4*Параметры!$C$7*(1+Параметры!$C$8)^INT((A19-Параметры!$C$11-1)/12)</f>
        <v>1200000</v>
      </c>
      <c r="E19" s="9">
        <f>D19/(1+Параметры!$C$13)</f>
        <v>983606.55737704923</v>
      </c>
      <c r="F19" s="9">
        <f t="shared" si="2"/>
        <v>216393.44262295077</v>
      </c>
      <c r="G19" s="9">
        <f>IF(AND(A19&gt;Параметры!$C$11,A19&lt;=Параметры!$C$11+3),Параметры!$C$28,0)</f>
        <v>0</v>
      </c>
      <c r="H19" s="9">
        <f t="shared" si="3"/>
        <v>216393.44262295077</v>
      </c>
      <c r="I19" s="9">
        <f>E19*Параметры!$C$16</f>
        <v>147540.98360655739</v>
      </c>
      <c r="J19" s="9">
        <f>Параметры!$C$27</f>
        <v>85382.513661202189</v>
      </c>
      <c r="K19" s="9">
        <f>MAX(0,Параметры!$C$20-Параметры!$C$27*MAX(0,A19-Параметры!$C$11-1))*Параметры!$C$15/12</f>
        <v>73414.73132969033</v>
      </c>
      <c r="L19" s="9">
        <f t="shared" si="4"/>
        <v>677268.3287795994</v>
      </c>
      <c r="M19" s="9">
        <f>T18*Параметры!$C$10/12</f>
        <v>642851.94667364133</v>
      </c>
      <c r="N19" s="9">
        <f t="shared" si="5"/>
        <v>34416.382105958066</v>
      </c>
      <c r="O19" s="9">
        <f>MAX(0,N19*Параметры!$C$14)</f>
        <v>6883.2764211916137</v>
      </c>
      <c r="P19" s="9">
        <f t="shared" si="6"/>
        <v>27533.105684766451</v>
      </c>
      <c r="Q19" s="9">
        <v>0</v>
      </c>
      <c r="R19" s="9">
        <v>0</v>
      </c>
      <c r="S19" s="9">
        <f>MAX(0,MIN(Параметры!$C$26-M19,T18))</f>
        <v>143245.97649029165</v>
      </c>
      <c r="T19" s="9">
        <f t="shared" si="7"/>
        <v>38427870.823928192</v>
      </c>
      <c r="U19" s="9">
        <f t="shared" si="8"/>
        <v>-246723.79976727377</v>
      </c>
      <c r="V19" s="9">
        <f t="shared" si="1"/>
        <v>-6256526.0068777353</v>
      </c>
    </row>
    <row r="20" spans="1:22" x14ac:dyDescent="0.25">
      <c r="A20" s="11">
        <v>19</v>
      </c>
      <c r="B20" s="11" t="s">
        <v>81</v>
      </c>
      <c r="C20" s="12" t="s">
        <v>69</v>
      </c>
      <c r="D20" s="13">
        <f>Параметры!$C$4*Параметры!$C$7*(1+Параметры!$C$8)^INT((A20-Параметры!$C$11-1)/12)</f>
        <v>1290000</v>
      </c>
      <c r="E20" s="13">
        <f>D20/(1+Параметры!$C$13)</f>
        <v>1057377.0491803279</v>
      </c>
      <c r="F20" s="13">
        <f t="shared" si="2"/>
        <v>232622.95081967209</v>
      </c>
      <c r="G20" s="13">
        <f>IF(AND(A20&gt;Параметры!$C$11,A20&lt;=Параметры!$C$11+3),Параметры!$C$28,0)</f>
        <v>0</v>
      </c>
      <c r="H20" s="13">
        <f t="shared" si="3"/>
        <v>232622.95081967209</v>
      </c>
      <c r="I20" s="13">
        <f>E20*Параметры!$C$16</f>
        <v>158606.55737704918</v>
      </c>
      <c r="J20" s="13">
        <f>Параметры!$C$27</f>
        <v>85382.513661202189</v>
      </c>
      <c r="K20" s="13">
        <f>MAX(0,Параметры!$C$20-Параметры!$C$27*MAX(0,A20-Параметры!$C$11-1))*Параметры!$C$15/12</f>
        <v>73258.196721311469</v>
      </c>
      <c r="L20" s="13">
        <f t="shared" si="4"/>
        <v>740129.7814207651</v>
      </c>
      <c r="M20" s="13">
        <f>T19*Параметры!$C$10/12</f>
        <v>640464.51373213658</v>
      </c>
      <c r="N20" s="13">
        <f t="shared" si="5"/>
        <v>99665.267688628519</v>
      </c>
      <c r="O20" s="13">
        <f>MAX(0,N20*Параметры!$C$14)</f>
        <v>19933.053537725704</v>
      </c>
      <c r="P20" s="13">
        <f t="shared" si="6"/>
        <v>79732.214150902815</v>
      </c>
      <c r="Q20" s="13">
        <v>0</v>
      </c>
      <c r="R20" s="13">
        <v>0</v>
      </c>
      <c r="S20" s="13">
        <f>MAX(0,MIN(Параметры!$C$26-M20,T19))</f>
        <v>145633.4094317964</v>
      </c>
      <c r="T20" s="13">
        <f t="shared" si="7"/>
        <v>38282237.414496399</v>
      </c>
      <c r="U20" s="13">
        <f t="shared" si="8"/>
        <v>-213141.63243936349</v>
      </c>
      <c r="V20" s="13">
        <f t="shared" si="1"/>
        <v>-6469667.639317099</v>
      </c>
    </row>
    <row r="21" spans="1:22" x14ac:dyDescent="0.25">
      <c r="A21" s="14">
        <v>20</v>
      </c>
      <c r="B21" s="14" t="s">
        <v>82</v>
      </c>
      <c r="C21" s="15" t="s">
        <v>69</v>
      </c>
      <c r="D21" s="9">
        <f>Параметры!$C$4*Параметры!$C$7*(1+Параметры!$C$8)^INT((A21-Параметры!$C$11-1)/12)</f>
        <v>1290000</v>
      </c>
      <c r="E21" s="9">
        <f>D21/(1+Параметры!$C$13)</f>
        <v>1057377.0491803279</v>
      </c>
      <c r="F21" s="9">
        <f t="shared" si="2"/>
        <v>232622.95081967209</v>
      </c>
      <c r="G21" s="9">
        <f>IF(AND(A21&gt;Параметры!$C$11,A21&lt;=Параметры!$C$11+3),Параметры!$C$28,0)</f>
        <v>0</v>
      </c>
      <c r="H21" s="9">
        <f t="shared" si="3"/>
        <v>232622.95081967209</v>
      </c>
      <c r="I21" s="9">
        <f>E21*Параметры!$C$16</f>
        <v>158606.55737704918</v>
      </c>
      <c r="J21" s="9">
        <f>Параметры!$C$27</f>
        <v>85382.513661202189</v>
      </c>
      <c r="K21" s="9">
        <f>MAX(0,Параметры!$C$20-Параметры!$C$27*MAX(0,A21-Параметры!$C$11-1))*Параметры!$C$15/12</f>
        <v>73101.662112932594</v>
      </c>
      <c r="L21" s="9">
        <f t="shared" si="4"/>
        <v>740286.31602914399</v>
      </c>
      <c r="M21" s="9">
        <f>T20*Параметры!$C$10/12</f>
        <v>638037.29024160665</v>
      </c>
      <c r="N21" s="9">
        <f t="shared" si="5"/>
        <v>102249.02578753734</v>
      </c>
      <c r="O21" s="9">
        <f>MAX(0,N21*Параметры!$C$14)</f>
        <v>20449.805157507468</v>
      </c>
      <c r="P21" s="9">
        <f t="shared" si="6"/>
        <v>81799.220630029871</v>
      </c>
      <c r="Q21" s="9">
        <v>0</v>
      </c>
      <c r="R21" s="9">
        <v>0</v>
      </c>
      <c r="S21" s="9">
        <f>MAX(0,MIN(Параметры!$C$26-M21,T20))</f>
        <v>148060.63292232633</v>
      </c>
      <c r="T21" s="9">
        <f t="shared" si="7"/>
        <v>38134176.78157407</v>
      </c>
      <c r="U21" s="9">
        <f t="shared" si="8"/>
        <v>-213501.84945076634</v>
      </c>
      <c r="V21" s="9">
        <f t="shared" si="1"/>
        <v>-6683169.4887678651</v>
      </c>
    </row>
    <row r="22" spans="1:22" x14ac:dyDescent="0.25">
      <c r="A22" s="11">
        <v>21</v>
      </c>
      <c r="B22" s="11" t="s">
        <v>83</v>
      </c>
      <c r="C22" s="12" t="s">
        <v>69</v>
      </c>
      <c r="D22" s="13">
        <f>Параметры!$C$4*Параметры!$C$7*(1+Параметры!$C$8)^INT((A22-Параметры!$C$11-1)/12)</f>
        <v>1290000</v>
      </c>
      <c r="E22" s="13">
        <f>D22/(1+Параметры!$C$13)</f>
        <v>1057377.0491803279</v>
      </c>
      <c r="F22" s="13">
        <f t="shared" si="2"/>
        <v>232622.95081967209</v>
      </c>
      <c r="G22" s="13">
        <f>IF(AND(A22&gt;Параметры!$C$11,A22&lt;=Параметры!$C$11+3),Параметры!$C$28,0)</f>
        <v>0</v>
      </c>
      <c r="H22" s="13">
        <f t="shared" si="3"/>
        <v>232622.95081967209</v>
      </c>
      <c r="I22" s="13">
        <f>E22*Параметры!$C$16</f>
        <v>158606.55737704918</v>
      </c>
      <c r="J22" s="13">
        <f>Параметры!$C$27</f>
        <v>85382.513661202189</v>
      </c>
      <c r="K22" s="13">
        <f>MAX(0,Параметры!$C$20-Параметры!$C$27*MAX(0,A22-Параметры!$C$11-1))*Параметры!$C$15/12</f>
        <v>72945.127504553733</v>
      </c>
      <c r="L22" s="13">
        <f t="shared" si="4"/>
        <v>740442.85063752276</v>
      </c>
      <c r="M22" s="13">
        <f>T21*Параметры!$C$10/12</f>
        <v>635569.61302623455</v>
      </c>
      <c r="N22" s="13">
        <f t="shared" si="5"/>
        <v>104873.2376112882</v>
      </c>
      <c r="O22" s="13">
        <f>MAX(0,N22*Параметры!$C$14)</f>
        <v>20974.647522257641</v>
      </c>
      <c r="P22" s="13">
        <f t="shared" si="6"/>
        <v>83898.590089030564</v>
      </c>
      <c r="Q22" s="13">
        <v>0</v>
      </c>
      <c r="R22" s="13">
        <v>0</v>
      </c>
      <c r="S22" s="13">
        <f>MAX(0,MIN(Параметры!$C$26-M22,T21))</f>
        <v>150528.31013769843</v>
      </c>
      <c r="T22" s="13">
        <f t="shared" si="7"/>
        <v>37983648.471436374</v>
      </c>
      <c r="U22" s="13">
        <f t="shared" si="8"/>
        <v>-213870.15720713776</v>
      </c>
      <c r="V22" s="13">
        <f t="shared" si="1"/>
        <v>-6897039.645975003</v>
      </c>
    </row>
    <row r="23" spans="1:22" x14ac:dyDescent="0.25">
      <c r="A23" s="14">
        <v>22</v>
      </c>
      <c r="B23" s="14" t="s">
        <v>84</v>
      </c>
      <c r="C23" s="15" t="s">
        <v>69</v>
      </c>
      <c r="D23" s="9">
        <f>Параметры!$C$4*Параметры!$C$7*(1+Параметры!$C$8)^INT((A23-Параметры!$C$11-1)/12)</f>
        <v>1290000</v>
      </c>
      <c r="E23" s="9">
        <f>D23/(1+Параметры!$C$13)</f>
        <v>1057377.0491803279</v>
      </c>
      <c r="F23" s="9">
        <f t="shared" si="2"/>
        <v>232622.95081967209</v>
      </c>
      <c r="G23" s="9">
        <f>IF(AND(A23&gt;Параметры!$C$11,A23&lt;=Параметры!$C$11+3),Параметры!$C$28,0)</f>
        <v>0</v>
      </c>
      <c r="H23" s="9">
        <f t="shared" si="3"/>
        <v>232622.95081967209</v>
      </c>
      <c r="I23" s="9">
        <f>E23*Параметры!$C$16</f>
        <v>158606.55737704918</v>
      </c>
      <c r="J23" s="9">
        <f>Параметры!$C$27</f>
        <v>85382.513661202189</v>
      </c>
      <c r="K23" s="9">
        <f>MAX(0,Параметры!$C$20-Параметры!$C$27*MAX(0,A23-Параметры!$C$11-1))*Параметры!$C$15/12</f>
        <v>72788.592896174858</v>
      </c>
      <c r="L23" s="9">
        <f t="shared" si="4"/>
        <v>740599.38524590165</v>
      </c>
      <c r="M23" s="9">
        <f>T22*Параметры!$C$10/12</f>
        <v>633060.80785727291</v>
      </c>
      <c r="N23" s="9">
        <f t="shared" si="5"/>
        <v>107538.57738862874</v>
      </c>
      <c r="O23" s="9">
        <f>MAX(0,N23*Параметры!$C$14)</f>
        <v>21507.715477725749</v>
      </c>
      <c r="P23" s="9">
        <f t="shared" si="6"/>
        <v>86030.861910902982</v>
      </c>
      <c r="Q23" s="9">
        <v>0</v>
      </c>
      <c r="R23" s="9">
        <v>0</v>
      </c>
      <c r="S23" s="9">
        <f>MAX(0,MIN(Параметры!$C$26-M23,T22))</f>
        <v>153037.11530666007</v>
      </c>
      <c r="T23" s="9">
        <f t="shared" si="7"/>
        <v>37830611.356129713</v>
      </c>
      <c r="U23" s="9">
        <f t="shared" si="8"/>
        <v>-214246.69055422698</v>
      </c>
      <c r="V23" s="9">
        <f t="shared" si="1"/>
        <v>-7111286.3365292298</v>
      </c>
    </row>
    <row r="24" spans="1:22" x14ac:dyDescent="0.25">
      <c r="A24" s="11">
        <v>23</v>
      </c>
      <c r="B24" s="11" t="s">
        <v>85</v>
      </c>
      <c r="C24" s="12" t="s">
        <v>69</v>
      </c>
      <c r="D24" s="13">
        <f>Параметры!$C$4*Параметры!$C$7*(1+Параметры!$C$8)^INT((A24-Параметры!$C$11-1)/12)</f>
        <v>1290000</v>
      </c>
      <c r="E24" s="13">
        <f>D24/(1+Параметры!$C$13)</f>
        <v>1057377.0491803279</v>
      </c>
      <c r="F24" s="13">
        <f t="shared" si="2"/>
        <v>232622.95081967209</v>
      </c>
      <c r="G24" s="13">
        <f>IF(AND(A24&gt;Параметры!$C$11,A24&lt;=Параметры!$C$11+3),Параметры!$C$28,0)</f>
        <v>0</v>
      </c>
      <c r="H24" s="13">
        <f t="shared" si="3"/>
        <v>232622.95081967209</v>
      </c>
      <c r="I24" s="13">
        <f>E24*Параметры!$C$16</f>
        <v>158606.55737704918</v>
      </c>
      <c r="J24" s="13">
        <f>Параметры!$C$27</f>
        <v>85382.513661202189</v>
      </c>
      <c r="K24" s="13">
        <f>MAX(0,Параметры!$C$20-Параметры!$C$27*MAX(0,A24-Параметры!$C$11-1))*Параметры!$C$15/12</f>
        <v>72632.058287795997</v>
      </c>
      <c r="L24" s="13">
        <f t="shared" si="4"/>
        <v>740755.91985428054</v>
      </c>
      <c r="M24" s="13">
        <f>T23*Параметры!$C$10/12</f>
        <v>630510.1892688286</v>
      </c>
      <c r="N24" s="13">
        <f t="shared" si="5"/>
        <v>110245.73058545194</v>
      </c>
      <c r="O24" s="13">
        <f>MAX(0,N24*Параметры!$C$14)</f>
        <v>22049.146117090389</v>
      </c>
      <c r="P24" s="13">
        <f t="shared" si="6"/>
        <v>88196.584468361543</v>
      </c>
      <c r="Q24" s="13">
        <v>0</v>
      </c>
      <c r="R24" s="13">
        <v>0</v>
      </c>
      <c r="S24" s="13">
        <f>MAX(0,MIN(Параметры!$C$26-M24,T23))</f>
        <v>155587.73389510438</v>
      </c>
      <c r="T24" s="13">
        <f t="shared" si="7"/>
        <v>37675023.622234613</v>
      </c>
      <c r="U24" s="13">
        <f t="shared" si="8"/>
        <v>-214631.58658521273</v>
      </c>
      <c r="V24" s="13">
        <f t="shared" si="1"/>
        <v>-7325917.9231144423</v>
      </c>
    </row>
    <row r="25" spans="1:22" x14ac:dyDescent="0.25">
      <c r="A25" s="14">
        <v>24</v>
      </c>
      <c r="B25" s="14" t="s">
        <v>86</v>
      </c>
      <c r="C25" s="15" t="s">
        <v>69</v>
      </c>
      <c r="D25" s="9">
        <f>Параметры!$C$4*Параметры!$C$7*(1+Параметры!$C$8)^INT((A25-Параметры!$C$11-1)/12)</f>
        <v>1290000</v>
      </c>
      <c r="E25" s="9">
        <f>D25/(1+Параметры!$C$13)</f>
        <v>1057377.0491803279</v>
      </c>
      <c r="F25" s="9">
        <f t="shared" si="2"/>
        <v>232622.95081967209</v>
      </c>
      <c r="G25" s="9">
        <f>IF(AND(A25&gt;Параметры!$C$11,A25&lt;=Параметры!$C$11+3),Параметры!$C$28,0)</f>
        <v>0</v>
      </c>
      <c r="H25" s="9">
        <f t="shared" si="3"/>
        <v>232622.95081967209</v>
      </c>
      <c r="I25" s="9">
        <f>E25*Параметры!$C$16</f>
        <v>158606.55737704918</v>
      </c>
      <c r="J25" s="9">
        <f>Параметры!$C$27</f>
        <v>85382.513661202189</v>
      </c>
      <c r="K25" s="9">
        <f>MAX(0,Параметры!$C$20-Параметры!$C$27*MAX(0,A25-Параметры!$C$11-1))*Параметры!$C$15/12</f>
        <v>72475.523679417107</v>
      </c>
      <c r="L25" s="9">
        <f t="shared" si="4"/>
        <v>740912.45446265943</v>
      </c>
      <c r="M25" s="9">
        <f>T24*Параметры!$C$10/12</f>
        <v>627917.06037057692</v>
      </c>
      <c r="N25" s="9">
        <f t="shared" si="5"/>
        <v>112995.39409208251</v>
      </c>
      <c r="O25" s="9">
        <f>MAX(0,N25*Параметры!$C$14)</f>
        <v>22599.078818416503</v>
      </c>
      <c r="P25" s="9">
        <f t="shared" si="6"/>
        <v>90396.315273666012</v>
      </c>
      <c r="Q25" s="9">
        <v>0</v>
      </c>
      <c r="R25" s="9">
        <v>0</v>
      </c>
      <c r="S25" s="9">
        <f>MAX(0,MIN(Параметры!$C$26-M25,T24))</f>
        <v>158180.86279335606</v>
      </c>
      <c r="T25" s="9">
        <f t="shared" si="7"/>
        <v>37516842.759441257</v>
      </c>
      <c r="U25" s="9">
        <f t="shared" si="8"/>
        <v>-215024.98467815993</v>
      </c>
      <c r="V25" s="9">
        <f t="shared" si="1"/>
        <v>-7540942.9077926017</v>
      </c>
    </row>
    <row r="26" spans="1:22" x14ac:dyDescent="0.25">
      <c r="A26" s="11">
        <v>25</v>
      </c>
      <c r="B26" s="11" t="s">
        <v>87</v>
      </c>
      <c r="C26" s="12" t="s">
        <v>69</v>
      </c>
      <c r="D26" s="13">
        <f>Параметры!$C$4*Параметры!$C$7*(1+Параметры!$C$8)^INT((A26-Параметры!$C$11-1)/12)</f>
        <v>1290000</v>
      </c>
      <c r="E26" s="13">
        <f>D26/(1+Параметры!$C$13)</f>
        <v>1057377.0491803279</v>
      </c>
      <c r="F26" s="13">
        <f t="shared" si="2"/>
        <v>232622.95081967209</v>
      </c>
      <c r="G26" s="13">
        <f>IF(AND(A26&gt;Параметры!$C$11,A26&lt;=Параметры!$C$11+3),Параметры!$C$28,0)</f>
        <v>0</v>
      </c>
      <c r="H26" s="13">
        <f t="shared" si="3"/>
        <v>232622.95081967209</v>
      </c>
      <c r="I26" s="13">
        <f>E26*Параметры!$C$16</f>
        <v>158606.55737704918</v>
      </c>
      <c r="J26" s="13">
        <f>Параметры!$C$27</f>
        <v>85382.513661202189</v>
      </c>
      <c r="K26" s="13">
        <f>MAX(0,Параметры!$C$20-Параметры!$C$27*MAX(0,A26-Параметры!$C$11-1))*Параметры!$C$15/12</f>
        <v>72318.989071038246</v>
      </c>
      <c r="L26" s="13">
        <f t="shared" si="4"/>
        <v>741068.98907103832</v>
      </c>
      <c r="M26" s="13">
        <f>T25*Параметры!$C$10/12</f>
        <v>625280.71265735431</v>
      </c>
      <c r="N26" s="13">
        <f t="shared" si="5"/>
        <v>115788.27641368401</v>
      </c>
      <c r="O26" s="13">
        <f>MAX(0,N26*Параметры!$C$14)</f>
        <v>23157.655282736803</v>
      </c>
      <c r="P26" s="13">
        <f t="shared" si="6"/>
        <v>92630.621130947213</v>
      </c>
      <c r="Q26" s="13">
        <v>0</v>
      </c>
      <c r="R26" s="13">
        <v>0</v>
      </c>
      <c r="S26" s="13">
        <f>MAX(0,MIN(Параметры!$C$26-M26,T25))</f>
        <v>160817.21050657867</v>
      </c>
      <c r="T26" s="13">
        <f t="shared" si="7"/>
        <v>37356025.548934676</v>
      </c>
      <c r="U26" s="13">
        <f t="shared" si="8"/>
        <v>-215427.02653410134</v>
      </c>
      <c r="V26" s="13">
        <f t="shared" si="1"/>
        <v>-7756369.9343267027</v>
      </c>
    </row>
    <row r="27" spans="1:22" x14ac:dyDescent="0.25">
      <c r="A27" s="14">
        <v>26</v>
      </c>
      <c r="B27" s="14" t="s">
        <v>88</v>
      </c>
      <c r="C27" s="15" t="s">
        <v>69</v>
      </c>
      <c r="D27" s="9">
        <f>Параметры!$C$4*Параметры!$C$7*(1+Параметры!$C$8)^INT((A27-Параметры!$C$11-1)/12)</f>
        <v>1290000</v>
      </c>
      <c r="E27" s="9">
        <f>D27/(1+Параметры!$C$13)</f>
        <v>1057377.0491803279</v>
      </c>
      <c r="F27" s="9">
        <f t="shared" si="2"/>
        <v>232622.95081967209</v>
      </c>
      <c r="G27" s="9">
        <f>IF(AND(A27&gt;Параметры!$C$11,A27&lt;=Параметры!$C$11+3),Параметры!$C$28,0)</f>
        <v>0</v>
      </c>
      <c r="H27" s="9">
        <f t="shared" si="3"/>
        <v>232622.95081967209</v>
      </c>
      <c r="I27" s="9">
        <f>E27*Параметры!$C$16</f>
        <v>158606.55737704918</v>
      </c>
      <c r="J27" s="9">
        <f>Параметры!$C$27</f>
        <v>85382.513661202189</v>
      </c>
      <c r="K27" s="9">
        <f>MAX(0,Параметры!$C$20-Параметры!$C$27*MAX(0,A27-Параметры!$C$11-1))*Параметры!$C$15/12</f>
        <v>72162.454462659371</v>
      </c>
      <c r="L27" s="9">
        <f t="shared" si="4"/>
        <v>741225.52367941709</v>
      </c>
      <c r="M27" s="9">
        <f>T26*Параметры!$C$10/12</f>
        <v>622600.42581557797</v>
      </c>
      <c r="N27" s="9">
        <f t="shared" si="5"/>
        <v>118625.09786383912</v>
      </c>
      <c r="O27" s="9">
        <f>MAX(0,N27*Параметры!$C$14)</f>
        <v>23725.019572767826</v>
      </c>
      <c r="P27" s="9">
        <f t="shared" si="6"/>
        <v>94900.078291071302</v>
      </c>
      <c r="Q27" s="9">
        <v>0</v>
      </c>
      <c r="R27" s="9">
        <v>0</v>
      </c>
      <c r="S27" s="9">
        <f>MAX(0,MIN(Параметры!$C$26-M27,T26))</f>
        <v>163497.49734835501</v>
      </c>
      <c r="T27" s="9">
        <f t="shared" si="7"/>
        <v>37192528.051586322</v>
      </c>
      <c r="U27" s="9">
        <f t="shared" si="8"/>
        <v>-215837.85621575359</v>
      </c>
      <c r="V27" s="9">
        <f t="shared" si="1"/>
        <v>-7972207.7905424563</v>
      </c>
    </row>
    <row r="28" spans="1:22" x14ac:dyDescent="0.25">
      <c r="A28" s="11">
        <v>27</v>
      </c>
      <c r="B28" s="11" t="s">
        <v>89</v>
      </c>
      <c r="C28" s="12" t="s">
        <v>69</v>
      </c>
      <c r="D28" s="13">
        <f>Параметры!$C$4*Параметры!$C$7*(1+Параметры!$C$8)^INT((A28-Параметры!$C$11-1)/12)</f>
        <v>1290000</v>
      </c>
      <c r="E28" s="13">
        <f>D28/(1+Параметры!$C$13)</f>
        <v>1057377.0491803279</v>
      </c>
      <c r="F28" s="13">
        <f t="shared" si="2"/>
        <v>232622.95081967209</v>
      </c>
      <c r="G28" s="13">
        <f>IF(AND(A28&gt;Параметры!$C$11,A28&lt;=Параметры!$C$11+3),Параметры!$C$28,0)</f>
        <v>0</v>
      </c>
      <c r="H28" s="13">
        <f t="shared" si="3"/>
        <v>232622.95081967209</v>
      </c>
      <c r="I28" s="13">
        <f>E28*Параметры!$C$16</f>
        <v>158606.55737704918</v>
      </c>
      <c r="J28" s="13">
        <f>Параметры!$C$27</f>
        <v>85382.513661202189</v>
      </c>
      <c r="K28" s="13">
        <f>MAX(0,Параметры!$C$20-Параметры!$C$27*MAX(0,A28-Параметры!$C$11-1))*Параметры!$C$15/12</f>
        <v>72005.91985428051</v>
      </c>
      <c r="L28" s="13">
        <f t="shared" si="4"/>
        <v>741382.05828779598</v>
      </c>
      <c r="M28" s="13">
        <f>T27*Параметры!$C$10/12</f>
        <v>619875.46752643876</v>
      </c>
      <c r="N28" s="13">
        <f t="shared" si="5"/>
        <v>121506.59076135722</v>
      </c>
      <c r="O28" s="13">
        <f>MAX(0,N28*Параметры!$C$14)</f>
        <v>24301.318152271444</v>
      </c>
      <c r="P28" s="13">
        <f t="shared" si="6"/>
        <v>97205.272609085776</v>
      </c>
      <c r="Q28" s="13">
        <v>0</v>
      </c>
      <c r="R28" s="13">
        <v>0</v>
      </c>
      <c r="S28" s="13">
        <f>MAX(0,MIN(Параметры!$C$26-M28,T27))</f>
        <v>166222.45563749422</v>
      </c>
      <c r="T28" s="13">
        <f t="shared" si="7"/>
        <v>37026305.59594883</v>
      </c>
      <c r="U28" s="13">
        <f t="shared" si="8"/>
        <v>-216257.62018687834</v>
      </c>
      <c r="V28" s="13">
        <f t="shared" si="1"/>
        <v>-8188465.4107293347</v>
      </c>
    </row>
    <row r="29" spans="1:22" x14ac:dyDescent="0.25">
      <c r="A29" s="14">
        <v>28</v>
      </c>
      <c r="B29" s="14" t="s">
        <v>90</v>
      </c>
      <c r="C29" s="15" t="s">
        <v>69</v>
      </c>
      <c r="D29" s="9">
        <f>Параметры!$C$4*Параметры!$C$7*(1+Параметры!$C$8)^INT((A29-Параметры!$C$11-1)/12)</f>
        <v>1290000</v>
      </c>
      <c r="E29" s="9">
        <f>D29/(1+Параметры!$C$13)</f>
        <v>1057377.0491803279</v>
      </c>
      <c r="F29" s="9">
        <f t="shared" si="2"/>
        <v>232622.95081967209</v>
      </c>
      <c r="G29" s="9">
        <f>IF(AND(A29&gt;Параметры!$C$11,A29&lt;=Параметры!$C$11+3),Параметры!$C$28,0)</f>
        <v>0</v>
      </c>
      <c r="H29" s="9">
        <f t="shared" si="3"/>
        <v>232622.95081967209</v>
      </c>
      <c r="I29" s="9">
        <f>E29*Параметры!$C$16</f>
        <v>158606.55737704918</v>
      </c>
      <c r="J29" s="9">
        <f>Параметры!$C$27</f>
        <v>85382.513661202189</v>
      </c>
      <c r="K29" s="9">
        <f>MAX(0,Параметры!$C$20-Параметры!$C$27*MAX(0,A29-Параметры!$C$11-1))*Параметры!$C$15/12</f>
        <v>71849.385245901634</v>
      </c>
      <c r="L29" s="9">
        <f t="shared" si="4"/>
        <v>741538.59289617487</v>
      </c>
      <c r="M29" s="9">
        <f>T28*Параметры!$C$10/12</f>
        <v>617105.09326581389</v>
      </c>
      <c r="N29" s="9">
        <f t="shared" si="5"/>
        <v>124433.49963036098</v>
      </c>
      <c r="O29" s="9">
        <f>MAX(0,N29*Параметры!$C$14)</f>
        <v>24886.699926072197</v>
      </c>
      <c r="P29" s="9">
        <f t="shared" si="6"/>
        <v>99546.799704288787</v>
      </c>
      <c r="Q29" s="9">
        <v>0</v>
      </c>
      <c r="R29" s="9">
        <v>0</v>
      </c>
      <c r="S29" s="9">
        <f>MAX(0,MIN(Параметры!$C$26-M29,T28))</f>
        <v>168992.82989811909</v>
      </c>
      <c r="T29" s="9">
        <f t="shared" si="7"/>
        <v>36857312.766050711</v>
      </c>
      <c r="U29" s="9">
        <f t="shared" si="8"/>
        <v>-216686.46735230018</v>
      </c>
      <c r="V29" s="9">
        <f t="shared" si="1"/>
        <v>-8405151.8780816346</v>
      </c>
    </row>
    <row r="30" spans="1:22" x14ac:dyDescent="0.25">
      <c r="A30" s="11">
        <v>29</v>
      </c>
      <c r="B30" s="11" t="s">
        <v>91</v>
      </c>
      <c r="C30" s="12" t="s">
        <v>69</v>
      </c>
      <c r="D30" s="13">
        <f>Параметры!$C$4*Параметры!$C$7*(1+Параметры!$C$8)^INT((A30-Параметры!$C$11-1)/12)</f>
        <v>1290000</v>
      </c>
      <c r="E30" s="13">
        <f>D30/(1+Параметры!$C$13)</f>
        <v>1057377.0491803279</v>
      </c>
      <c r="F30" s="13">
        <f t="shared" si="2"/>
        <v>232622.95081967209</v>
      </c>
      <c r="G30" s="13">
        <f>IF(AND(A30&gt;Параметры!$C$11,A30&lt;=Параметры!$C$11+3),Параметры!$C$28,0)</f>
        <v>0</v>
      </c>
      <c r="H30" s="13">
        <f t="shared" si="3"/>
        <v>232622.95081967209</v>
      </c>
      <c r="I30" s="13">
        <f>E30*Параметры!$C$16</f>
        <v>158606.55737704918</v>
      </c>
      <c r="J30" s="13">
        <f>Параметры!$C$27</f>
        <v>85382.513661202189</v>
      </c>
      <c r="K30" s="13">
        <f>MAX(0,Параметры!$C$20-Параметры!$C$27*MAX(0,A30-Параметры!$C$11-1))*Параметры!$C$15/12</f>
        <v>71692.850637522773</v>
      </c>
      <c r="L30" s="13">
        <f t="shared" si="4"/>
        <v>741695.12750455376</v>
      </c>
      <c r="M30" s="13">
        <f>T29*Параметры!$C$10/12</f>
        <v>614288.54610084521</v>
      </c>
      <c r="N30" s="13">
        <f t="shared" si="5"/>
        <v>127406.58140370855</v>
      </c>
      <c r="O30" s="13">
        <f>MAX(0,N30*Параметры!$C$14)</f>
        <v>25481.31628074171</v>
      </c>
      <c r="P30" s="13">
        <f t="shared" si="6"/>
        <v>101925.26512296684</v>
      </c>
      <c r="Q30" s="13">
        <v>0</v>
      </c>
      <c r="R30" s="13">
        <v>0</v>
      </c>
      <c r="S30" s="13">
        <f>MAX(0,MIN(Параметры!$C$26-M30,T29))</f>
        <v>171809.37706308777</v>
      </c>
      <c r="T30" s="13">
        <f t="shared" si="7"/>
        <v>36685503.388987623</v>
      </c>
      <c r="U30" s="13">
        <f t="shared" si="8"/>
        <v>-217124.54909859083</v>
      </c>
      <c r="V30" s="13">
        <f t="shared" si="1"/>
        <v>-8622276.427180225</v>
      </c>
    </row>
    <row r="31" spans="1:22" x14ac:dyDescent="0.25">
      <c r="A31" s="14">
        <v>30</v>
      </c>
      <c r="B31" s="14" t="s">
        <v>92</v>
      </c>
      <c r="C31" s="15" t="s">
        <v>69</v>
      </c>
      <c r="D31" s="9">
        <f>Параметры!$C$4*Параметры!$C$7*(1+Параметры!$C$8)^INT((A31-Параметры!$C$11-1)/12)</f>
        <v>1290000</v>
      </c>
      <c r="E31" s="9">
        <f>D31/(1+Параметры!$C$13)</f>
        <v>1057377.0491803279</v>
      </c>
      <c r="F31" s="9">
        <f t="shared" si="2"/>
        <v>232622.95081967209</v>
      </c>
      <c r="G31" s="9">
        <f>IF(AND(A31&gt;Параметры!$C$11,A31&lt;=Параметры!$C$11+3),Параметры!$C$28,0)</f>
        <v>0</v>
      </c>
      <c r="H31" s="9">
        <f t="shared" si="3"/>
        <v>232622.95081967209</v>
      </c>
      <c r="I31" s="9">
        <f>E31*Параметры!$C$16</f>
        <v>158606.55737704918</v>
      </c>
      <c r="J31" s="9">
        <f>Параметры!$C$27</f>
        <v>85382.513661202189</v>
      </c>
      <c r="K31" s="9">
        <f>MAX(0,Параметры!$C$20-Параметры!$C$27*MAX(0,A31-Параметры!$C$11-1))*Параметры!$C$15/12</f>
        <v>71536.316029143883</v>
      </c>
      <c r="L31" s="9">
        <f t="shared" si="4"/>
        <v>741851.66211293265</v>
      </c>
      <c r="M31" s="9">
        <f>T30*Параметры!$C$10/12</f>
        <v>611425.05648312706</v>
      </c>
      <c r="N31" s="9">
        <f t="shared" si="5"/>
        <v>130426.60562980559</v>
      </c>
      <c r="O31" s="9">
        <f>MAX(0,N31*Параметры!$C$14)</f>
        <v>26085.32112596112</v>
      </c>
      <c r="P31" s="9">
        <f t="shared" si="6"/>
        <v>104341.28450384448</v>
      </c>
      <c r="Q31" s="9">
        <v>0</v>
      </c>
      <c r="R31" s="9">
        <v>0</v>
      </c>
      <c r="S31" s="9">
        <f>MAX(0,MIN(Параметры!$C$26-M31,T30))</f>
        <v>174672.86668080592</v>
      </c>
      <c r="T31" s="9">
        <f t="shared" si="7"/>
        <v>36510830.522306815</v>
      </c>
      <c r="U31" s="9">
        <f t="shared" si="8"/>
        <v>-217572.01933543134</v>
      </c>
      <c r="V31" s="9">
        <f t="shared" si="1"/>
        <v>-8839848.446515657</v>
      </c>
    </row>
    <row r="32" spans="1:22" x14ac:dyDescent="0.25">
      <c r="A32" s="11">
        <v>31</v>
      </c>
      <c r="B32" s="11" t="s">
        <v>93</v>
      </c>
      <c r="C32" s="12" t="s">
        <v>69</v>
      </c>
      <c r="D32" s="13">
        <f>Параметры!$C$4*Параметры!$C$7*(1+Параметры!$C$8)^INT((A32-Параметры!$C$11-1)/12)</f>
        <v>1386749.9999999998</v>
      </c>
      <c r="E32" s="13">
        <f>D32/(1+Параметры!$C$13)</f>
        <v>1136680.3278688523</v>
      </c>
      <c r="F32" s="13">
        <f t="shared" si="2"/>
        <v>250069.67213114747</v>
      </c>
      <c r="G32" s="13">
        <f>IF(AND(A32&gt;Параметры!$C$11,A32&lt;=Параметры!$C$11+3),Параметры!$C$28,0)</f>
        <v>0</v>
      </c>
      <c r="H32" s="13">
        <f t="shared" si="3"/>
        <v>250069.67213114747</v>
      </c>
      <c r="I32" s="13">
        <f>E32*Параметры!$C$16</f>
        <v>170502.04918032783</v>
      </c>
      <c r="J32" s="13">
        <f>Параметры!$C$27</f>
        <v>85382.513661202189</v>
      </c>
      <c r="K32" s="13">
        <f>MAX(0,Параметры!$C$20-Параметры!$C$27*MAX(0,A32-Параметры!$C$11-1))*Параметры!$C$15/12</f>
        <v>71379.781420765023</v>
      </c>
      <c r="L32" s="13">
        <f t="shared" si="4"/>
        <v>809415.98360655736</v>
      </c>
      <c r="M32" s="13">
        <f>T31*Параметры!$C$10/12</f>
        <v>608513.84203844692</v>
      </c>
      <c r="N32" s="13">
        <f t="shared" si="5"/>
        <v>200902.14156811044</v>
      </c>
      <c r="O32" s="13">
        <f>MAX(0,N32*Параметры!$C$14)</f>
        <v>40180.428313622091</v>
      </c>
      <c r="P32" s="13">
        <f t="shared" si="6"/>
        <v>160721.71325448836</v>
      </c>
      <c r="Q32" s="13">
        <v>0</v>
      </c>
      <c r="R32" s="13">
        <v>0</v>
      </c>
      <c r="S32" s="13">
        <f>MAX(0,MIN(Параметры!$C$26-M32,T31))</f>
        <v>177584.08112548606</v>
      </c>
      <c r="T32" s="13">
        <f t="shared" si="7"/>
        <v>36333246.441181332</v>
      </c>
      <c r="U32" s="13">
        <f t="shared" si="8"/>
        <v>-181549.52634094298</v>
      </c>
      <c r="V32" s="13">
        <f t="shared" si="1"/>
        <v>-9021397.9728565998</v>
      </c>
    </row>
    <row r="33" spans="1:22" x14ac:dyDescent="0.25">
      <c r="A33" s="14">
        <v>32</v>
      </c>
      <c r="B33" s="14" t="s">
        <v>94</v>
      </c>
      <c r="C33" s="15" t="s">
        <v>69</v>
      </c>
      <c r="D33" s="9">
        <f>Параметры!$C$4*Параметры!$C$7*(1+Параметры!$C$8)^INT((A33-Параметры!$C$11-1)/12)</f>
        <v>1386749.9999999998</v>
      </c>
      <c r="E33" s="9">
        <f>D33/(1+Параметры!$C$13)</f>
        <v>1136680.3278688523</v>
      </c>
      <c r="F33" s="9">
        <f t="shared" si="2"/>
        <v>250069.67213114747</v>
      </c>
      <c r="G33" s="9">
        <f>IF(AND(A33&gt;Параметры!$C$11,A33&lt;=Параметры!$C$11+3),Параметры!$C$28,0)</f>
        <v>0</v>
      </c>
      <c r="H33" s="9">
        <f t="shared" si="3"/>
        <v>250069.67213114747</v>
      </c>
      <c r="I33" s="9">
        <f>E33*Параметры!$C$16</f>
        <v>170502.04918032783</v>
      </c>
      <c r="J33" s="9">
        <f>Параметры!$C$27</f>
        <v>85382.513661202189</v>
      </c>
      <c r="K33" s="9">
        <f>MAX(0,Параметры!$C$20-Параметры!$C$27*MAX(0,A33-Параметры!$C$11-1))*Параметры!$C$15/12</f>
        <v>71223.246812386147</v>
      </c>
      <c r="L33" s="9">
        <f t="shared" si="4"/>
        <v>809572.51821493614</v>
      </c>
      <c r="M33" s="9">
        <f>T32*Параметры!$C$10/12</f>
        <v>605554.10735302221</v>
      </c>
      <c r="N33" s="9">
        <f t="shared" si="5"/>
        <v>204018.41086191393</v>
      </c>
      <c r="O33" s="9">
        <f>MAX(0,N33*Параметры!$C$14)</f>
        <v>40803.682172382789</v>
      </c>
      <c r="P33" s="9">
        <f t="shared" si="6"/>
        <v>163214.72868953116</v>
      </c>
      <c r="Q33" s="9">
        <v>0</v>
      </c>
      <c r="R33" s="9">
        <v>0</v>
      </c>
      <c r="S33" s="9">
        <f>MAX(0,MIN(Параметры!$C$26-M33,T32))</f>
        <v>180543.81581091078</v>
      </c>
      <c r="T33" s="9">
        <f t="shared" si="7"/>
        <v>36152702.625370421</v>
      </c>
      <c r="U33" s="9">
        <f t="shared" si="8"/>
        <v>-182016.2455913249</v>
      </c>
      <c r="V33" s="9">
        <f t="shared" si="1"/>
        <v>-9203414.2184479255</v>
      </c>
    </row>
    <row r="34" spans="1:22" x14ac:dyDescent="0.25">
      <c r="A34" s="11">
        <v>33</v>
      </c>
      <c r="B34" s="11" t="s">
        <v>95</v>
      </c>
      <c r="C34" s="12" t="s">
        <v>69</v>
      </c>
      <c r="D34" s="13">
        <f>Параметры!$C$4*Параметры!$C$7*(1+Параметры!$C$8)^INT((A34-Параметры!$C$11-1)/12)</f>
        <v>1386749.9999999998</v>
      </c>
      <c r="E34" s="13">
        <f>D34/(1+Параметры!$C$13)</f>
        <v>1136680.3278688523</v>
      </c>
      <c r="F34" s="13">
        <f t="shared" si="2"/>
        <v>250069.67213114747</v>
      </c>
      <c r="G34" s="13">
        <f>IF(AND(A34&gt;Параметры!$C$11,A34&lt;=Параметры!$C$11+3),Параметры!$C$28,0)</f>
        <v>0</v>
      </c>
      <c r="H34" s="13">
        <f t="shared" si="3"/>
        <v>250069.67213114747</v>
      </c>
      <c r="I34" s="13">
        <f>E34*Параметры!$C$16</f>
        <v>170502.04918032783</v>
      </c>
      <c r="J34" s="13">
        <f>Параметры!$C$27</f>
        <v>85382.513661202189</v>
      </c>
      <c r="K34" s="13">
        <f>MAX(0,Параметры!$C$20-Параметры!$C$27*MAX(0,A34-Параметры!$C$11-1))*Параметры!$C$15/12</f>
        <v>71066.712204007286</v>
      </c>
      <c r="L34" s="13">
        <f t="shared" si="4"/>
        <v>809729.05282331503</v>
      </c>
      <c r="M34" s="13">
        <f>T33*Параметры!$C$10/12</f>
        <v>602545.04375617369</v>
      </c>
      <c r="N34" s="13">
        <f t="shared" si="5"/>
        <v>207184.00906714133</v>
      </c>
      <c r="O34" s="13">
        <f>MAX(0,N34*Параметры!$C$14)</f>
        <v>41436.801813428268</v>
      </c>
      <c r="P34" s="13">
        <f t="shared" si="6"/>
        <v>165747.20725371307</v>
      </c>
      <c r="Q34" s="13">
        <v>0</v>
      </c>
      <c r="R34" s="13">
        <v>0</v>
      </c>
      <c r="S34" s="13">
        <f>MAX(0,MIN(Параметры!$C$26-M34,T33))</f>
        <v>183552.87940775929</v>
      </c>
      <c r="T34" s="13">
        <f t="shared" si="7"/>
        <v>35969149.745962664</v>
      </c>
      <c r="U34" s="13">
        <f t="shared" si="8"/>
        <v>-182492.8306239915</v>
      </c>
      <c r="V34" s="13">
        <f t="shared" si="1"/>
        <v>-9385907.0490719173</v>
      </c>
    </row>
    <row r="35" spans="1:22" x14ac:dyDescent="0.25">
      <c r="A35" s="14">
        <v>34</v>
      </c>
      <c r="B35" s="14" t="s">
        <v>96</v>
      </c>
      <c r="C35" s="15" t="s">
        <v>69</v>
      </c>
      <c r="D35" s="9">
        <f>Параметры!$C$4*Параметры!$C$7*(1+Параметры!$C$8)^INT((A35-Параметры!$C$11-1)/12)</f>
        <v>1386749.9999999998</v>
      </c>
      <c r="E35" s="9">
        <f>D35/(1+Параметры!$C$13)</f>
        <v>1136680.3278688523</v>
      </c>
      <c r="F35" s="9">
        <f t="shared" si="2"/>
        <v>250069.67213114747</v>
      </c>
      <c r="G35" s="9">
        <f>IF(AND(A35&gt;Параметры!$C$11,A35&lt;=Параметры!$C$11+3),Параметры!$C$28,0)</f>
        <v>0</v>
      </c>
      <c r="H35" s="9">
        <f t="shared" si="3"/>
        <v>250069.67213114747</v>
      </c>
      <c r="I35" s="9">
        <f>E35*Параметры!$C$16</f>
        <v>170502.04918032783</v>
      </c>
      <c r="J35" s="9">
        <f>Параметры!$C$27</f>
        <v>85382.513661202189</v>
      </c>
      <c r="K35" s="9">
        <f>MAX(0,Параметры!$C$20-Параметры!$C$27*MAX(0,A35-Параметры!$C$11-1))*Параметры!$C$15/12</f>
        <v>70910.177595628411</v>
      </c>
      <c r="L35" s="9">
        <f t="shared" si="4"/>
        <v>809885.58743169392</v>
      </c>
      <c r="M35" s="9">
        <f>T34*Параметры!$C$10/12</f>
        <v>599485.82909937773</v>
      </c>
      <c r="N35" s="9">
        <f t="shared" si="5"/>
        <v>210399.75833231618</v>
      </c>
      <c r="O35" s="9">
        <f>MAX(0,N35*Параметры!$C$14)</f>
        <v>42079.951666463239</v>
      </c>
      <c r="P35" s="9">
        <f t="shared" si="6"/>
        <v>168319.80666585296</v>
      </c>
      <c r="Q35" s="9">
        <v>0</v>
      </c>
      <c r="R35" s="9">
        <v>0</v>
      </c>
      <c r="S35" s="9">
        <f>MAX(0,MIN(Параметры!$C$26-M35,T34))</f>
        <v>186612.09406455525</v>
      </c>
      <c r="T35" s="9">
        <f t="shared" si="7"/>
        <v>35782537.651898108</v>
      </c>
      <c r="U35" s="9">
        <f t="shared" si="8"/>
        <v>-182979.44586864757</v>
      </c>
      <c r="V35" s="9">
        <f t="shared" ref="V35:V66" si="9">V34+U35</f>
        <v>-9568886.494940564</v>
      </c>
    </row>
    <row r="36" spans="1:22" x14ac:dyDescent="0.25">
      <c r="A36" s="11">
        <v>35</v>
      </c>
      <c r="B36" s="11" t="s">
        <v>97</v>
      </c>
      <c r="C36" s="12" t="s">
        <v>69</v>
      </c>
      <c r="D36" s="13">
        <f>Параметры!$C$4*Параметры!$C$7*(1+Параметры!$C$8)^INT((A36-Параметры!$C$11-1)/12)</f>
        <v>1386749.9999999998</v>
      </c>
      <c r="E36" s="13">
        <f>D36/(1+Параметры!$C$13)</f>
        <v>1136680.3278688523</v>
      </c>
      <c r="F36" s="13">
        <f t="shared" si="2"/>
        <v>250069.67213114747</v>
      </c>
      <c r="G36" s="13">
        <f>IF(AND(A36&gt;Параметры!$C$11,A36&lt;=Параметры!$C$11+3),Параметры!$C$28,0)</f>
        <v>0</v>
      </c>
      <c r="H36" s="13">
        <f t="shared" si="3"/>
        <v>250069.67213114747</v>
      </c>
      <c r="I36" s="13">
        <f>E36*Параметры!$C$16</f>
        <v>170502.04918032783</v>
      </c>
      <c r="J36" s="13">
        <f>Параметры!$C$27</f>
        <v>85382.513661202189</v>
      </c>
      <c r="K36" s="13">
        <f>MAX(0,Параметры!$C$20-Параметры!$C$27*MAX(0,A36-Параметры!$C$11-1))*Параметры!$C$15/12</f>
        <v>70753.642987249536</v>
      </c>
      <c r="L36" s="13">
        <f t="shared" si="4"/>
        <v>810042.12204007281</v>
      </c>
      <c r="M36" s="13">
        <f>T35*Параметры!$C$10/12</f>
        <v>596375.62753163523</v>
      </c>
      <c r="N36" s="13">
        <f t="shared" si="5"/>
        <v>213666.49450843758</v>
      </c>
      <c r="O36" s="13">
        <f>MAX(0,N36*Параметры!$C$14)</f>
        <v>42733.298901687522</v>
      </c>
      <c r="P36" s="13">
        <f t="shared" si="6"/>
        <v>170933.19560675006</v>
      </c>
      <c r="Q36" s="13">
        <v>0</v>
      </c>
      <c r="R36" s="13">
        <v>0</v>
      </c>
      <c r="S36" s="13">
        <f>MAX(0,MIN(Параметры!$C$26-M36,T35))</f>
        <v>189722.29563229776</v>
      </c>
      <c r="T36" s="13">
        <f t="shared" si="7"/>
        <v>35592815.356265813</v>
      </c>
      <c r="U36" s="13">
        <f t="shared" si="8"/>
        <v>-183476.25849549298</v>
      </c>
      <c r="V36" s="13">
        <f t="shared" si="9"/>
        <v>-9752362.7534360569</v>
      </c>
    </row>
    <row r="37" spans="1:22" x14ac:dyDescent="0.25">
      <c r="A37" s="14">
        <v>36</v>
      </c>
      <c r="B37" s="14" t="s">
        <v>98</v>
      </c>
      <c r="C37" s="15" t="s">
        <v>69</v>
      </c>
      <c r="D37" s="9">
        <f>Параметры!$C$4*Параметры!$C$7*(1+Параметры!$C$8)^INT((A37-Параметры!$C$11-1)/12)</f>
        <v>1386749.9999999998</v>
      </c>
      <c r="E37" s="9">
        <f>D37/(1+Параметры!$C$13)</f>
        <v>1136680.3278688523</v>
      </c>
      <c r="F37" s="9">
        <f t="shared" si="2"/>
        <v>250069.67213114747</v>
      </c>
      <c r="G37" s="9">
        <f>IF(AND(A37&gt;Параметры!$C$11,A37&lt;=Параметры!$C$11+3),Параметры!$C$28,0)</f>
        <v>0</v>
      </c>
      <c r="H37" s="9">
        <f t="shared" si="3"/>
        <v>250069.67213114747</v>
      </c>
      <c r="I37" s="9">
        <f>E37*Параметры!$C$16</f>
        <v>170502.04918032783</v>
      </c>
      <c r="J37" s="9">
        <f>Параметры!$C$27</f>
        <v>85382.513661202189</v>
      </c>
      <c r="K37" s="9">
        <f>MAX(0,Параметры!$C$20-Параметры!$C$27*MAX(0,A37-Параметры!$C$11-1))*Параметры!$C$15/12</f>
        <v>70597.10837887066</v>
      </c>
      <c r="L37" s="9">
        <f t="shared" si="4"/>
        <v>810198.6566484517</v>
      </c>
      <c r="M37" s="9">
        <f>T36*Параметры!$C$10/12</f>
        <v>593213.58927109686</v>
      </c>
      <c r="N37" s="9">
        <f t="shared" si="5"/>
        <v>216985.06737735483</v>
      </c>
      <c r="O37" s="9">
        <f>MAX(0,N37*Параметры!$C$14)</f>
        <v>43397.013475470972</v>
      </c>
      <c r="P37" s="9">
        <f t="shared" si="6"/>
        <v>173588.05390188386</v>
      </c>
      <c r="Q37" s="9">
        <v>0</v>
      </c>
      <c r="R37" s="9">
        <v>0</v>
      </c>
      <c r="S37" s="9">
        <f>MAX(0,MIN(Параметры!$C$26-M37,T36))</f>
        <v>192884.33389283612</v>
      </c>
      <c r="T37" s="9">
        <f t="shared" si="7"/>
        <v>35399931.022372976</v>
      </c>
      <c r="U37" s="9">
        <f t="shared" si="8"/>
        <v>-183983.43846089754</v>
      </c>
      <c r="V37" s="9">
        <f t="shared" si="9"/>
        <v>-9936346.1918969546</v>
      </c>
    </row>
    <row r="38" spans="1:22" x14ac:dyDescent="0.25">
      <c r="A38" s="11">
        <v>37</v>
      </c>
      <c r="B38" s="11" t="s">
        <v>99</v>
      </c>
      <c r="C38" s="12" t="s">
        <v>69</v>
      </c>
      <c r="D38" s="13">
        <f>Параметры!$C$4*Параметры!$C$7*(1+Параметры!$C$8)^INT((A38-Параметры!$C$11-1)/12)</f>
        <v>1386749.9999999998</v>
      </c>
      <c r="E38" s="13">
        <f>D38/(1+Параметры!$C$13)</f>
        <v>1136680.3278688523</v>
      </c>
      <c r="F38" s="13">
        <f t="shared" si="2"/>
        <v>250069.67213114747</v>
      </c>
      <c r="G38" s="13">
        <f>IF(AND(A38&gt;Параметры!$C$11,A38&lt;=Параметры!$C$11+3),Параметры!$C$28,0)</f>
        <v>0</v>
      </c>
      <c r="H38" s="13">
        <f t="shared" si="3"/>
        <v>250069.67213114747</v>
      </c>
      <c r="I38" s="13">
        <f>E38*Параметры!$C$16</f>
        <v>170502.04918032783</v>
      </c>
      <c r="J38" s="13">
        <f>Параметры!$C$27</f>
        <v>85382.513661202189</v>
      </c>
      <c r="K38" s="13">
        <f>MAX(0,Параметры!$C$20-Параметры!$C$27*MAX(0,A38-Параметры!$C$11-1))*Параметры!$C$15/12</f>
        <v>70440.573770491799</v>
      </c>
      <c r="L38" s="13">
        <f t="shared" si="4"/>
        <v>810355.19125683059</v>
      </c>
      <c r="M38" s="13">
        <f>T37*Параметры!$C$10/12</f>
        <v>589998.85037288291</v>
      </c>
      <c r="N38" s="13">
        <f t="shared" si="5"/>
        <v>220356.34088394768</v>
      </c>
      <c r="O38" s="13">
        <f>MAX(0,N38*Параметры!$C$14)</f>
        <v>44071.268176789541</v>
      </c>
      <c r="P38" s="13">
        <f t="shared" si="6"/>
        <v>176285.07270715814</v>
      </c>
      <c r="Q38" s="13">
        <v>0</v>
      </c>
      <c r="R38" s="13">
        <v>0</v>
      </c>
      <c r="S38" s="13">
        <f>MAX(0,MIN(Параметры!$C$26-M38,T37))</f>
        <v>196099.07279105007</v>
      </c>
      <c r="T38" s="13">
        <f t="shared" si="7"/>
        <v>35203831.949581929</v>
      </c>
      <c r="U38" s="13">
        <f t="shared" si="8"/>
        <v>-184501.15855383722</v>
      </c>
      <c r="V38" s="13">
        <f t="shared" si="9"/>
        <v>-10120847.350450791</v>
      </c>
    </row>
    <row r="39" spans="1:22" x14ac:dyDescent="0.25">
      <c r="A39" s="14">
        <v>38</v>
      </c>
      <c r="B39" s="14" t="s">
        <v>100</v>
      </c>
      <c r="C39" s="15" t="s">
        <v>69</v>
      </c>
      <c r="D39" s="9">
        <f>Параметры!$C$4*Параметры!$C$7*(1+Параметры!$C$8)^INT((A39-Параметры!$C$11-1)/12)</f>
        <v>1386749.9999999998</v>
      </c>
      <c r="E39" s="9">
        <f>D39/(1+Параметры!$C$13)</f>
        <v>1136680.3278688523</v>
      </c>
      <c r="F39" s="9">
        <f t="shared" si="2"/>
        <v>250069.67213114747</v>
      </c>
      <c r="G39" s="9">
        <f>IF(AND(A39&gt;Параметры!$C$11,A39&lt;=Параметры!$C$11+3),Параметры!$C$28,0)</f>
        <v>0</v>
      </c>
      <c r="H39" s="9">
        <f t="shared" si="3"/>
        <v>250069.67213114747</v>
      </c>
      <c r="I39" s="9">
        <f>E39*Параметры!$C$16</f>
        <v>170502.04918032783</v>
      </c>
      <c r="J39" s="9">
        <f>Параметры!$C$27</f>
        <v>85382.513661202189</v>
      </c>
      <c r="K39" s="9">
        <f>MAX(0,Параметры!$C$20-Параметры!$C$27*MAX(0,A39-Параметры!$C$11-1))*Параметры!$C$15/12</f>
        <v>70284.039162112924</v>
      </c>
      <c r="L39" s="9">
        <f t="shared" si="4"/>
        <v>810511.72586520948</v>
      </c>
      <c r="M39" s="9">
        <f>T38*Параметры!$C$10/12</f>
        <v>586730.53249303217</v>
      </c>
      <c r="N39" s="9">
        <f t="shared" si="5"/>
        <v>223781.19337217731</v>
      </c>
      <c r="O39" s="9">
        <f>MAX(0,N39*Параметры!$C$14)</f>
        <v>44756.238674435466</v>
      </c>
      <c r="P39" s="9">
        <f t="shared" si="6"/>
        <v>179024.95469774184</v>
      </c>
      <c r="Q39" s="9">
        <v>0</v>
      </c>
      <c r="R39" s="9">
        <v>0</v>
      </c>
      <c r="S39" s="9">
        <f>MAX(0,MIN(Параметры!$C$26-M39,T38))</f>
        <v>199367.39067090082</v>
      </c>
      <c r="T39" s="9">
        <f t="shared" si="7"/>
        <v>35004464.558911026</v>
      </c>
      <c r="U39" s="9">
        <f t="shared" si="8"/>
        <v>-185029.59444310423</v>
      </c>
      <c r="V39" s="9">
        <f t="shared" si="9"/>
        <v>-10305876.944893897</v>
      </c>
    </row>
    <row r="40" spans="1:22" x14ac:dyDescent="0.25">
      <c r="A40" s="11">
        <v>39</v>
      </c>
      <c r="B40" s="11" t="s">
        <v>101</v>
      </c>
      <c r="C40" s="12" t="s">
        <v>69</v>
      </c>
      <c r="D40" s="13">
        <f>Параметры!$C$4*Параметры!$C$7*(1+Параметры!$C$8)^INT((A40-Параметры!$C$11-1)/12)</f>
        <v>1386749.9999999998</v>
      </c>
      <c r="E40" s="13">
        <f>D40/(1+Параметры!$C$13)</f>
        <v>1136680.3278688523</v>
      </c>
      <c r="F40" s="13">
        <f t="shared" ref="F40:F71" si="10">D40-E40</f>
        <v>250069.67213114747</v>
      </c>
      <c r="G40" s="13">
        <f>IF(AND(A40&gt;Параметры!$C$11,A40&lt;=Параметры!$C$11+3),Параметры!$C$28,0)</f>
        <v>0</v>
      </c>
      <c r="H40" s="13">
        <f t="shared" ref="H40:H71" si="11">F40-G40</f>
        <v>250069.67213114747</v>
      </c>
      <c r="I40" s="13">
        <f>E40*Параметры!$C$16</f>
        <v>170502.04918032783</v>
      </c>
      <c r="J40" s="13">
        <f>Параметры!$C$27</f>
        <v>85382.513661202189</v>
      </c>
      <c r="K40" s="13">
        <f>MAX(0,Параметры!$C$20-Параметры!$C$27*MAX(0,A40-Параметры!$C$11-1))*Параметры!$C$15/12</f>
        <v>70127.504553734048</v>
      </c>
      <c r="L40" s="13">
        <f t="shared" ref="L40:L71" si="12">E40-I40-J40-K40</f>
        <v>810668.26047358825</v>
      </c>
      <c r="M40" s="13">
        <f>T39*Параметры!$C$10/12</f>
        <v>583407.74264851713</v>
      </c>
      <c r="N40" s="13">
        <f t="shared" ref="N40:N71" si="13">L40-M40</f>
        <v>227260.51782507112</v>
      </c>
      <c r="O40" s="13">
        <f>MAX(0,N40*Параметры!$C$14)</f>
        <v>45452.103565014229</v>
      </c>
      <c r="P40" s="13">
        <f t="shared" ref="P40:P71" si="14">N40-O40</f>
        <v>181808.41426005689</v>
      </c>
      <c r="Q40" s="13">
        <v>0</v>
      </c>
      <c r="R40" s="13">
        <v>0</v>
      </c>
      <c r="S40" s="13">
        <f>MAX(0,MIN(Параметры!$C$26-M40,T39))</f>
        <v>202690.18051541585</v>
      </c>
      <c r="T40" s="13">
        <f t="shared" ref="T40:T71" si="15">MAX(0,T39-S40)</f>
        <v>34801774.37839561</v>
      </c>
      <c r="U40" s="13">
        <f t="shared" ref="U40:U71" si="16">P40+J40-S40-H40</f>
        <v>-185568.92472530424</v>
      </c>
      <c r="V40" s="13">
        <f t="shared" si="9"/>
        <v>-10491445.8696192</v>
      </c>
    </row>
    <row r="41" spans="1:22" x14ac:dyDescent="0.25">
      <c r="A41" s="14">
        <v>40</v>
      </c>
      <c r="B41" s="14" t="s">
        <v>102</v>
      </c>
      <c r="C41" s="15" t="s">
        <v>69</v>
      </c>
      <c r="D41" s="9">
        <f>Параметры!$C$4*Параметры!$C$7*(1+Параметры!$C$8)^INT((A41-Параметры!$C$11-1)/12)</f>
        <v>1386749.9999999998</v>
      </c>
      <c r="E41" s="9">
        <f>D41/(1+Параметры!$C$13)</f>
        <v>1136680.3278688523</v>
      </c>
      <c r="F41" s="9">
        <f t="shared" si="10"/>
        <v>250069.67213114747</v>
      </c>
      <c r="G41" s="9">
        <f>IF(AND(A41&gt;Параметры!$C$11,A41&lt;=Параметры!$C$11+3),Параметры!$C$28,0)</f>
        <v>0</v>
      </c>
      <c r="H41" s="9">
        <f t="shared" si="11"/>
        <v>250069.67213114747</v>
      </c>
      <c r="I41" s="9">
        <f>E41*Параметры!$C$16</f>
        <v>170502.04918032783</v>
      </c>
      <c r="J41" s="9">
        <f>Параметры!$C$27</f>
        <v>85382.513661202189</v>
      </c>
      <c r="K41" s="9">
        <f>MAX(0,Параметры!$C$20-Параметры!$C$27*MAX(0,A41-Параметры!$C$11-1))*Параметры!$C$15/12</f>
        <v>69970.969945355188</v>
      </c>
      <c r="L41" s="9">
        <f t="shared" si="12"/>
        <v>810824.79508196714</v>
      </c>
      <c r="M41" s="9">
        <f>T40*Параметры!$C$10/12</f>
        <v>580029.57297326019</v>
      </c>
      <c r="N41" s="9">
        <f t="shared" si="13"/>
        <v>230795.22210870695</v>
      </c>
      <c r="O41" s="9">
        <f>MAX(0,N41*Параметры!$C$14)</f>
        <v>46159.04442174139</v>
      </c>
      <c r="P41" s="9">
        <f t="shared" si="14"/>
        <v>184636.17768696556</v>
      </c>
      <c r="Q41" s="9">
        <v>0</v>
      </c>
      <c r="R41" s="9">
        <v>0</v>
      </c>
      <c r="S41" s="9">
        <f>MAX(0,MIN(Параметры!$C$26-M41,T40))</f>
        <v>206068.35019067279</v>
      </c>
      <c r="T41" s="9">
        <f t="shared" si="15"/>
        <v>34595706.02820494</v>
      </c>
      <c r="U41" s="9">
        <f t="shared" si="16"/>
        <v>-186119.33097365254</v>
      </c>
      <c r="V41" s="9">
        <f t="shared" si="9"/>
        <v>-10677565.200592853</v>
      </c>
    </row>
    <row r="42" spans="1:22" x14ac:dyDescent="0.25">
      <c r="A42" s="11">
        <v>41</v>
      </c>
      <c r="B42" s="11" t="s">
        <v>103</v>
      </c>
      <c r="C42" s="12" t="s">
        <v>69</v>
      </c>
      <c r="D42" s="13">
        <f>Параметры!$C$4*Параметры!$C$7*(1+Параметры!$C$8)^INT((A42-Параметры!$C$11-1)/12)</f>
        <v>1386749.9999999998</v>
      </c>
      <c r="E42" s="13">
        <f>D42/(1+Параметры!$C$13)</f>
        <v>1136680.3278688523</v>
      </c>
      <c r="F42" s="13">
        <f t="shared" si="10"/>
        <v>250069.67213114747</v>
      </c>
      <c r="G42" s="13">
        <f>IF(AND(A42&gt;Параметры!$C$11,A42&lt;=Параметры!$C$11+3),Параметры!$C$28,0)</f>
        <v>0</v>
      </c>
      <c r="H42" s="13">
        <f t="shared" si="11"/>
        <v>250069.67213114747</v>
      </c>
      <c r="I42" s="13">
        <f>E42*Параметры!$C$16</f>
        <v>170502.04918032783</v>
      </c>
      <c r="J42" s="13">
        <f>Параметры!$C$27</f>
        <v>85382.513661202189</v>
      </c>
      <c r="K42" s="13">
        <f>MAX(0,Параметры!$C$20-Параметры!$C$27*MAX(0,A42-Параметры!$C$11-1))*Параметры!$C$15/12</f>
        <v>69814.435336976312</v>
      </c>
      <c r="L42" s="13">
        <f t="shared" si="12"/>
        <v>810981.32969034603</v>
      </c>
      <c r="M42" s="13">
        <f>T41*Параметры!$C$10/12</f>
        <v>576595.10047008237</v>
      </c>
      <c r="N42" s="13">
        <f t="shared" si="13"/>
        <v>234386.22922026366</v>
      </c>
      <c r="O42" s="13">
        <f>MAX(0,N42*Параметры!$C$14)</f>
        <v>46877.245844052733</v>
      </c>
      <c r="P42" s="13">
        <f t="shared" si="14"/>
        <v>187508.98337621093</v>
      </c>
      <c r="Q42" s="13">
        <v>0</v>
      </c>
      <c r="R42" s="13">
        <v>0</v>
      </c>
      <c r="S42" s="13">
        <f>MAX(0,MIN(Параметры!$C$26-M42,T41))</f>
        <v>209502.82269385061</v>
      </c>
      <c r="T42" s="13">
        <f t="shared" si="15"/>
        <v>34386203.205511093</v>
      </c>
      <c r="U42" s="13">
        <f t="shared" si="16"/>
        <v>-186680.99778758496</v>
      </c>
      <c r="V42" s="13">
        <f t="shared" si="9"/>
        <v>-10864246.198380439</v>
      </c>
    </row>
    <row r="43" spans="1:22" x14ac:dyDescent="0.25">
      <c r="A43" s="14">
        <v>42</v>
      </c>
      <c r="B43" s="14" t="s">
        <v>104</v>
      </c>
      <c r="C43" s="15" t="s">
        <v>69</v>
      </c>
      <c r="D43" s="9">
        <f>Параметры!$C$4*Параметры!$C$7*(1+Параметры!$C$8)^INT((A43-Параметры!$C$11-1)/12)</f>
        <v>1386749.9999999998</v>
      </c>
      <c r="E43" s="9">
        <f>D43/(1+Параметры!$C$13)</f>
        <v>1136680.3278688523</v>
      </c>
      <c r="F43" s="9">
        <f t="shared" si="10"/>
        <v>250069.67213114747</v>
      </c>
      <c r="G43" s="9">
        <f>IF(AND(A43&gt;Параметры!$C$11,A43&lt;=Параметры!$C$11+3),Параметры!$C$28,0)</f>
        <v>0</v>
      </c>
      <c r="H43" s="9">
        <f t="shared" si="11"/>
        <v>250069.67213114747</v>
      </c>
      <c r="I43" s="9">
        <f>E43*Параметры!$C$16</f>
        <v>170502.04918032783</v>
      </c>
      <c r="J43" s="9">
        <f>Параметры!$C$27</f>
        <v>85382.513661202189</v>
      </c>
      <c r="K43" s="9">
        <f>MAX(0,Параметры!$C$20-Параметры!$C$27*MAX(0,A43-Параметры!$C$11-1))*Параметры!$C$15/12</f>
        <v>69657.900728597437</v>
      </c>
      <c r="L43" s="9">
        <f t="shared" si="12"/>
        <v>811137.86429872492</v>
      </c>
      <c r="M43" s="9">
        <f>T42*Параметры!$C$10/12</f>
        <v>573103.38675851829</v>
      </c>
      <c r="N43" s="9">
        <f t="shared" si="13"/>
        <v>238034.47754020663</v>
      </c>
      <c r="O43" s="9">
        <f>MAX(0,N43*Параметры!$C$14)</f>
        <v>47606.895508041329</v>
      </c>
      <c r="P43" s="9">
        <f t="shared" si="14"/>
        <v>190427.58203216532</v>
      </c>
      <c r="Q43" s="9">
        <v>0</v>
      </c>
      <c r="R43" s="9">
        <v>0</v>
      </c>
      <c r="S43" s="9">
        <f>MAX(0,MIN(Параметры!$C$26-M43,T42))</f>
        <v>212994.53640541469</v>
      </c>
      <c r="T43" s="9">
        <f t="shared" si="15"/>
        <v>34173208.669105679</v>
      </c>
      <c r="U43" s="9">
        <f t="shared" si="16"/>
        <v>-187254.11284319463</v>
      </c>
      <c r="V43" s="9">
        <f t="shared" si="9"/>
        <v>-11051500.311223634</v>
      </c>
    </row>
    <row r="44" spans="1:22" x14ac:dyDescent="0.25">
      <c r="A44" s="11">
        <v>43</v>
      </c>
      <c r="B44" s="11" t="s">
        <v>105</v>
      </c>
      <c r="C44" s="12" t="s">
        <v>69</v>
      </c>
      <c r="D44" s="13">
        <f>Параметры!$C$4*Параметры!$C$7*(1+Параметры!$C$8)^INT((A44-Параметры!$C$11-1)/12)</f>
        <v>1490756.2499999998</v>
      </c>
      <c r="E44" s="13">
        <f>D44/(1+Параметры!$C$13)</f>
        <v>1221931.3524590163</v>
      </c>
      <c r="F44" s="13">
        <f t="shared" si="10"/>
        <v>268824.89754098351</v>
      </c>
      <c r="G44" s="13">
        <f>IF(AND(A44&gt;Параметры!$C$11,A44&lt;=Параметры!$C$11+3),Параметры!$C$28,0)</f>
        <v>0</v>
      </c>
      <c r="H44" s="13">
        <f t="shared" si="11"/>
        <v>268824.89754098351</v>
      </c>
      <c r="I44" s="13">
        <f>E44*Параметры!$C$16</f>
        <v>183289.70286885244</v>
      </c>
      <c r="J44" s="13">
        <f>Параметры!$C$27</f>
        <v>85382.513661202189</v>
      </c>
      <c r="K44" s="13">
        <f>MAX(0,Параметры!$C$20-Параметры!$C$27*MAX(0,A44-Параметры!$C$11-1))*Параметры!$C$15/12</f>
        <v>69501.366120218576</v>
      </c>
      <c r="L44" s="13">
        <f t="shared" si="12"/>
        <v>883757.76980874315</v>
      </c>
      <c r="M44" s="13">
        <f>T43*Параметры!$C$10/12</f>
        <v>569553.47781842796</v>
      </c>
      <c r="N44" s="13">
        <f t="shared" si="13"/>
        <v>314204.29199031519</v>
      </c>
      <c r="O44" s="13">
        <f>MAX(0,N44*Параметры!$C$14)</f>
        <v>62840.858398063043</v>
      </c>
      <c r="P44" s="13">
        <f t="shared" si="14"/>
        <v>251363.43359225214</v>
      </c>
      <c r="Q44" s="13">
        <v>0</v>
      </c>
      <c r="R44" s="13">
        <v>0</v>
      </c>
      <c r="S44" s="13">
        <f>MAX(0,MIN(Параметры!$C$26-M44,T43))</f>
        <v>216544.44534550502</v>
      </c>
      <c r="T44" s="13">
        <f t="shared" si="15"/>
        <v>33956664.223760173</v>
      </c>
      <c r="U44" s="13">
        <f t="shared" si="16"/>
        <v>-148623.39563303418</v>
      </c>
      <c r="V44" s="13">
        <f t="shared" si="9"/>
        <v>-11200123.706856668</v>
      </c>
    </row>
    <row r="45" spans="1:22" x14ac:dyDescent="0.25">
      <c r="A45" s="14">
        <v>44</v>
      </c>
      <c r="B45" s="14" t="s">
        <v>106</v>
      </c>
      <c r="C45" s="15" t="s">
        <v>69</v>
      </c>
      <c r="D45" s="9">
        <f>Параметры!$C$4*Параметры!$C$7*(1+Параметры!$C$8)^INT((A45-Параметры!$C$11-1)/12)</f>
        <v>1490756.2499999998</v>
      </c>
      <c r="E45" s="9">
        <f>D45/(1+Параметры!$C$13)</f>
        <v>1221931.3524590163</v>
      </c>
      <c r="F45" s="9">
        <f t="shared" si="10"/>
        <v>268824.89754098351</v>
      </c>
      <c r="G45" s="9">
        <f>IF(AND(A45&gt;Параметры!$C$11,A45&lt;=Параметры!$C$11+3),Параметры!$C$28,0)</f>
        <v>0</v>
      </c>
      <c r="H45" s="9">
        <f t="shared" si="11"/>
        <v>268824.89754098351</v>
      </c>
      <c r="I45" s="9">
        <f>E45*Параметры!$C$16</f>
        <v>183289.70286885244</v>
      </c>
      <c r="J45" s="9">
        <f>Параметры!$C$27</f>
        <v>85382.513661202189</v>
      </c>
      <c r="K45" s="9">
        <f>MAX(0,Параметры!$C$20-Параметры!$C$27*MAX(0,A45-Параметры!$C$11-1))*Параметры!$C$15/12</f>
        <v>69344.8315118397</v>
      </c>
      <c r="L45" s="9">
        <f t="shared" si="12"/>
        <v>883914.30441712192</v>
      </c>
      <c r="M45" s="9">
        <f>T44*Параметры!$C$10/12</f>
        <v>565944.40372933622</v>
      </c>
      <c r="N45" s="9">
        <f t="shared" si="13"/>
        <v>317969.9006877857</v>
      </c>
      <c r="O45" s="9">
        <f>MAX(0,N45*Параметры!$C$14)</f>
        <v>63593.980137557141</v>
      </c>
      <c r="P45" s="9">
        <f t="shared" si="14"/>
        <v>254375.92055022856</v>
      </c>
      <c r="Q45" s="9">
        <v>0</v>
      </c>
      <c r="R45" s="9">
        <v>0</v>
      </c>
      <c r="S45" s="9">
        <f>MAX(0,MIN(Параметры!$C$26-M45,T44))</f>
        <v>220153.51943459676</v>
      </c>
      <c r="T45" s="9">
        <f t="shared" si="15"/>
        <v>33736510.704325579</v>
      </c>
      <c r="U45" s="9">
        <f t="shared" si="16"/>
        <v>-149219.98276414955</v>
      </c>
      <c r="V45" s="9">
        <f t="shared" si="9"/>
        <v>-11349343.689620817</v>
      </c>
    </row>
    <row r="46" spans="1:22" x14ac:dyDescent="0.25">
      <c r="A46" s="11">
        <v>45</v>
      </c>
      <c r="B46" s="11" t="s">
        <v>107</v>
      </c>
      <c r="C46" s="12" t="s">
        <v>69</v>
      </c>
      <c r="D46" s="13">
        <f>Параметры!$C$4*Параметры!$C$7*(1+Параметры!$C$8)^INT((A46-Параметры!$C$11-1)/12)</f>
        <v>1490756.2499999998</v>
      </c>
      <c r="E46" s="13">
        <f>D46/(1+Параметры!$C$13)</f>
        <v>1221931.3524590163</v>
      </c>
      <c r="F46" s="13">
        <f t="shared" si="10"/>
        <v>268824.89754098351</v>
      </c>
      <c r="G46" s="13">
        <f>IF(AND(A46&gt;Параметры!$C$11,A46&lt;=Параметры!$C$11+3),Параметры!$C$28,0)</f>
        <v>0</v>
      </c>
      <c r="H46" s="13">
        <f t="shared" si="11"/>
        <v>268824.89754098351</v>
      </c>
      <c r="I46" s="13">
        <f>E46*Параметры!$C$16</f>
        <v>183289.70286885244</v>
      </c>
      <c r="J46" s="13">
        <f>Параметры!$C$27</f>
        <v>85382.513661202189</v>
      </c>
      <c r="K46" s="13">
        <f>MAX(0,Параметры!$C$20-Параметры!$C$27*MAX(0,A46-Параметры!$C$11-1))*Параметры!$C$15/12</f>
        <v>69188.296903460825</v>
      </c>
      <c r="L46" s="13">
        <f t="shared" si="12"/>
        <v>884070.83902550081</v>
      </c>
      <c r="M46" s="13">
        <f>T45*Параметры!$C$10/12</f>
        <v>562275.17840542633</v>
      </c>
      <c r="N46" s="13">
        <f t="shared" si="13"/>
        <v>321795.66062007449</v>
      </c>
      <c r="O46" s="13">
        <f>MAX(0,N46*Параметры!$C$14)</f>
        <v>64359.132124014897</v>
      </c>
      <c r="P46" s="13">
        <f t="shared" si="14"/>
        <v>257436.52849605959</v>
      </c>
      <c r="Q46" s="13">
        <v>0</v>
      </c>
      <c r="R46" s="13">
        <v>0</v>
      </c>
      <c r="S46" s="13">
        <f>MAX(0,MIN(Параметры!$C$26-M46,T45))</f>
        <v>223822.74475850665</v>
      </c>
      <c r="T46" s="13">
        <f t="shared" si="15"/>
        <v>33512687.959567074</v>
      </c>
      <c r="U46" s="13">
        <f t="shared" si="16"/>
        <v>-149828.60014222842</v>
      </c>
      <c r="V46" s="13">
        <f t="shared" si="9"/>
        <v>-11499172.289763045</v>
      </c>
    </row>
    <row r="47" spans="1:22" x14ac:dyDescent="0.25">
      <c r="A47" s="14">
        <v>46</v>
      </c>
      <c r="B47" s="14" t="s">
        <v>108</v>
      </c>
      <c r="C47" s="15" t="s">
        <v>69</v>
      </c>
      <c r="D47" s="9">
        <f>Параметры!$C$4*Параметры!$C$7*(1+Параметры!$C$8)^INT((A47-Параметры!$C$11-1)/12)</f>
        <v>1490756.2499999998</v>
      </c>
      <c r="E47" s="9">
        <f>D47/(1+Параметры!$C$13)</f>
        <v>1221931.3524590163</v>
      </c>
      <c r="F47" s="9">
        <f t="shared" si="10"/>
        <v>268824.89754098351</v>
      </c>
      <c r="G47" s="9">
        <f>IF(AND(A47&gt;Параметры!$C$11,A47&lt;=Параметры!$C$11+3),Параметры!$C$28,0)</f>
        <v>0</v>
      </c>
      <c r="H47" s="9">
        <f t="shared" si="11"/>
        <v>268824.89754098351</v>
      </c>
      <c r="I47" s="9">
        <f>E47*Параметры!$C$16</f>
        <v>183289.70286885244</v>
      </c>
      <c r="J47" s="9">
        <f>Параметры!$C$27</f>
        <v>85382.513661202189</v>
      </c>
      <c r="K47" s="9">
        <f>MAX(0,Параметры!$C$20-Параметры!$C$27*MAX(0,A47-Параметры!$C$11-1))*Параметры!$C$15/12</f>
        <v>69031.762295081964</v>
      </c>
      <c r="L47" s="9">
        <f t="shared" si="12"/>
        <v>884227.3736338797</v>
      </c>
      <c r="M47" s="9">
        <f>T46*Параметры!$C$10/12</f>
        <v>558544.79932611797</v>
      </c>
      <c r="N47" s="9">
        <f t="shared" si="13"/>
        <v>325682.57430776174</v>
      </c>
      <c r="O47" s="9">
        <f>MAX(0,N47*Параметры!$C$14)</f>
        <v>65136.51486155235</v>
      </c>
      <c r="P47" s="9">
        <f t="shared" si="14"/>
        <v>260546.0594462094</v>
      </c>
      <c r="Q47" s="9">
        <v>0</v>
      </c>
      <c r="R47" s="9">
        <v>0</v>
      </c>
      <c r="S47" s="9">
        <f>MAX(0,MIN(Параметры!$C$26-M47,T46))</f>
        <v>227553.12383781502</v>
      </c>
      <c r="T47" s="9">
        <f t="shared" si="15"/>
        <v>33285134.83572926</v>
      </c>
      <c r="U47" s="9">
        <f t="shared" si="16"/>
        <v>-150449.44827138691</v>
      </c>
      <c r="V47" s="9">
        <f t="shared" si="9"/>
        <v>-11649621.738034431</v>
      </c>
    </row>
    <row r="48" spans="1:22" x14ac:dyDescent="0.25">
      <c r="A48" s="11">
        <v>47</v>
      </c>
      <c r="B48" s="11" t="s">
        <v>109</v>
      </c>
      <c r="C48" s="12" t="s">
        <v>69</v>
      </c>
      <c r="D48" s="13">
        <f>Параметры!$C$4*Параметры!$C$7*(1+Параметры!$C$8)^INT((A48-Параметры!$C$11-1)/12)</f>
        <v>1490756.2499999998</v>
      </c>
      <c r="E48" s="13">
        <f>D48/(1+Параметры!$C$13)</f>
        <v>1221931.3524590163</v>
      </c>
      <c r="F48" s="13">
        <f t="shared" si="10"/>
        <v>268824.89754098351</v>
      </c>
      <c r="G48" s="13">
        <f>IF(AND(A48&gt;Параметры!$C$11,A48&lt;=Параметры!$C$11+3),Параметры!$C$28,0)</f>
        <v>0</v>
      </c>
      <c r="H48" s="13">
        <f t="shared" si="11"/>
        <v>268824.89754098351</v>
      </c>
      <c r="I48" s="13">
        <f>E48*Параметры!$C$16</f>
        <v>183289.70286885244</v>
      </c>
      <c r="J48" s="13">
        <f>Параметры!$C$27</f>
        <v>85382.513661202189</v>
      </c>
      <c r="K48" s="13">
        <f>MAX(0,Параметры!$C$20-Параметры!$C$27*MAX(0,A48-Параметры!$C$11-1))*Параметры!$C$15/12</f>
        <v>68875.227686703089</v>
      </c>
      <c r="L48" s="13">
        <f t="shared" si="12"/>
        <v>884383.90824225859</v>
      </c>
      <c r="M48" s="13">
        <f>T47*Параметры!$C$10/12</f>
        <v>554752.24726215436</v>
      </c>
      <c r="N48" s="13">
        <f t="shared" si="13"/>
        <v>329631.66098010424</v>
      </c>
      <c r="O48" s="13">
        <f>MAX(0,N48*Параметры!$C$14)</f>
        <v>65926.332196020856</v>
      </c>
      <c r="P48" s="13">
        <f t="shared" si="14"/>
        <v>263705.32878408337</v>
      </c>
      <c r="Q48" s="13">
        <v>0</v>
      </c>
      <c r="R48" s="13">
        <v>0</v>
      </c>
      <c r="S48" s="13">
        <f>MAX(0,MIN(Параметры!$C$26-M48,T47))</f>
        <v>231345.67590177862</v>
      </c>
      <c r="T48" s="13">
        <f t="shared" si="15"/>
        <v>33053789.159827482</v>
      </c>
      <c r="U48" s="13">
        <f t="shared" si="16"/>
        <v>-151082.73099747661</v>
      </c>
      <c r="V48" s="13">
        <f t="shared" si="9"/>
        <v>-11800704.469031908</v>
      </c>
    </row>
    <row r="49" spans="1:22" x14ac:dyDescent="0.25">
      <c r="A49" s="14">
        <v>48</v>
      </c>
      <c r="B49" s="14" t="s">
        <v>110</v>
      </c>
      <c r="C49" s="15" t="s">
        <v>69</v>
      </c>
      <c r="D49" s="9">
        <f>Параметры!$C$4*Параметры!$C$7*(1+Параметры!$C$8)^INT((A49-Параметры!$C$11-1)/12)</f>
        <v>1490756.2499999998</v>
      </c>
      <c r="E49" s="9">
        <f>D49/(1+Параметры!$C$13)</f>
        <v>1221931.3524590163</v>
      </c>
      <c r="F49" s="9">
        <f t="shared" si="10"/>
        <v>268824.89754098351</v>
      </c>
      <c r="G49" s="9">
        <f>IF(AND(A49&gt;Параметры!$C$11,A49&lt;=Параметры!$C$11+3),Параметры!$C$28,0)</f>
        <v>0</v>
      </c>
      <c r="H49" s="9">
        <f t="shared" si="11"/>
        <v>268824.89754098351</v>
      </c>
      <c r="I49" s="9">
        <f>E49*Параметры!$C$16</f>
        <v>183289.70286885244</v>
      </c>
      <c r="J49" s="9">
        <f>Параметры!$C$27</f>
        <v>85382.513661202189</v>
      </c>
      <c r="K49" s="9">
        <f>MAX(0,Параметры!$C$20-Параметры!$C$27*MAX(0,A49-Параметры!$C$11-1))*Параметры!$C$15/12</f>
        <v>68718.693078324228</v>
      </c>
      <c r="L49" s="9">
        <f t="shared" si="12"/>
        <v>884540.44285063748</v>
      </c>
      <c r="M49" s="9">
        <f>T48*Параметры!$C$10/12</f>
        <v>550896.48599712469</v>
      </c>
      <c r="N49" s="9">
        <f t="shared" si="13"/>
        <v>333643.95685351279</v>
      </c>
      <c r="O49" s="9">
        <f>MAX(0,N49*Параметры!$C$14)</f>
        <v>66728.791370702558</v>
      </c>
      <c r="P49" s="9">
        <f t="shared" si="14"/>
        <v>266915.16548281023</v>
      </c>
      <c r="Q49" s="9">
        <v>0</v>
      </c>
      <c r="R49" s="9">
        <v>0</v>
      </c>
      <c r="S49" s="9">
        <f>MAX(0,MIN(Параметры!$C$26-M49,T48))</f>
        <v>235201.43716680829</v>
      </c>
      <c r="T49" s="9">
        <f t="shared" si="15"/>
        <v>32818587.722660672</v>
      </c>
      <c r="U49" s="9">
        <f t="shared" si="16"/>
        <v>-151728.65556377941</v>
      </c>
      <c r="V49" s="9">
        <f t="shared" si="9"/>
        <v>-11952433.124595687</v>
      </c>
    </row>
    <row r="50" spans="1:22" x14ac:dyDescent="0.25">
      <c r="A50" s="11">
        <v>49</v>
      </c>
      <c r="B50" s="11" t="s">
        <v>111</v>
      </c>
      <c r="C50" s="12" t="s">
        <v>69</v>
      </c>
      <c r="D50" s="13">
        <f>Параметры!$C$4*Параметры!$C$7*(1+Параметры!$C$8)^INT((A50-Параметры!$C$11-1)/12)</f>
        <v>1490756.2499999998</v>
      </c>
      <c r="E50" s="13">
        <f>D50/(1+Параметры!$C$13)</f>
        <v>1221931.3524590163</v>
      </c>
      <c r="F50" s="13">
        <f t="shared" si="10"/>
        <v>268824.89754098351</v>
      </c>
      <c r="G50" s="13">
        <f>IF(AND(A50&gt;Параметры!$C$11,A50&lt;=Параметры!$C$11+3),Параметры!$C$28,0)</f>
        <v>0</v>
      </c>
      <c r="H50" s="13">
        <f t="shared" si="11"/>
        <v>268824.89754098351</v>
      </c>
      <c r="I50" s="13">
        <f>E50*Параметры!$C$16</f>
        <v>183289.70286885244</v>
      </c>
      <c r="J50" s="13">
        <f>Параметры!$C$27</f>
        <v>85382.513661202189</v>
      </c>
      <c r="K50" s="13">
        <f>MAX(0,Параметры!$C$20-Параметры!$C$27*MAX(0,A50-Параметры!$C$11-1))*Параметры!$C$15/12</f>
        <v>68562.158469945352</v>
      </c>
      <c r="L50" s="13">
        <f t="shared" si="12"/>
        <v>884696.97745901637</v>
      </c>
      <c r="M50" s="13">
        <f>T49*Параметры!$C$10/12</f>
        <v>546976.46204434463</v>
      </c>
      <c r="N50" s="13">
        <f t="shared" si="13"/>
        <v>337720.51541467174</v>
      </c>
      <c r="O50" s="13">
        <f>MAX(0,N50*Параметры!$C$14)</f>
        <v>67544.103082934351</v>
      </c>
      <c r="P50" s="13">
        <f t="shared" si="14"/>
        <v>270176.4123317374</v>
      </c>
      <c r="Q50" s="13">
        <v>0</v>
      </c>
      <c r="R50" s="13">
        <v>0</v>
      </c>
      <c r="S50" s="13">
        <f>MAX(0,MIN(Параметры!$C$26-M50,T49))</f>
        <v>239121.46111958835</v>
      </c>
      <c r="T50" s="13">
        <f t="shared" si="15"/>
        <v>32579466.261541083</v>
      </c>
      <c r="U50" s="13">
        <f t="shared" si="16"/>
        <v>-152387.43266763224</v>
      </c>
      <c r="V50" s="13">
        <f t="shared" si="9"/>
        <v>-12104820.557263318</v>
      </c>
    </row>
    <row r="51" spans="1:22" x14ac:dyDescent="0.25">
      <c r="A51" s="14">
        <v>50</v>
      </c>
      <c r="B51" s="14" t="s">
        <v>112</v>
      </c>
      <c r="C51" s="15" t="s">
        <v>69</v>
      </c>
      <c r="D51" s="9">
        <f>Параметры!$C$4*Параметры!$C$7*(1+Параметры!$C$8)^INT((A51-Параметры!$C$11-1)/12)</f>
        <v>1490756.2499999998</v>
      </c>
      <c r="E51" s="9">
        <f>D51/(1+Параметры!$C$13)</f>
        <v>1221931.3524590163</v>
      </c>
      <c r="F51" s="9">
        <f t="shared" si="10"/>
        <v>268824.89754098351</v>
      </c>
      <c r="G51" s="9">
        <f>IF(AND(A51&gt;Параметры!$C$11,A51&lt;=Параметры!$C$11+3),Параметры!$C$28,0)</f>
        <v>0</v>
      </c>
      <c r="H51" s="9">
        <f t="shared" si="11"/>
        <v>268824.89754098351</v>
      </c>
      <c r="I51" s="9">
        <f>E51*Параметры!$C$16</f>
        <v>183289.70286885244</v>
      </c>
      <c r="J51" s="9">
        <f>Параметры!$C$27</f>
        <v>85382.513661202189</v>
      </c>
      <c r="K51" s="9">
        <f>MAX(0,Параметры!$C$20-Параметры!$C$27*MAX(0,A51-Параметры!$C$11-1))*Параметры!$C$15/12</f>
        <v>68405.623861566492</v>
      </c>
      <c r="L51" s="9">
        <f t="shared" si="12"/>
        <v>884853.51206739515</v>
      </c>
      <c r="M51" s="9">
        <f>T50*Параметры!$C$10/12</f>
        <v>542991.10435901803</v>
      </c>
      <c r="N51" s="9">
        <f t="shared" si="13"/>
        <v>341862.40770837711</v>
      </c>
      <c r="O51" s="9">
        <f>MAX(0,N51*Параметры!$C$14)</f>
        <v>68372.481541675428</v>
      </c>
      <c r="P51" s="9">
        <f t="shared" si="14"/>
        <v>273489.92616670171</v>
      </c>
      <c r="Q51" s="9">
        <v>0</v>
      </c>
      <c r="R51" s="9">
        <v>0</v>
      </c>
      <c r="S51" s="9">
        <f>MAX(0,MIN(Параметры!$C$26-M51,T50))</f>
        <v>243106.81880491495</v>
      </c>
      <c r="T51" s="9">
        <f t="shared" si="15"/>
        <v>32336359.442736167</v>
      </c>
      <c r="U51" s="9">
        <f t="shared" si="16"/>
        <v>-153059.27651799459</v>
      </c>
      <c r="V51" s="9">
        <f t="shared" si="9"/>
        <v>-12257879.833781313</v>
      </c>
    </row>
    <row r="52" spans="1:22" x14ac:dyDescent="0.25">
      <c r="A52" s="11">
        <v>51</v>
      </c>
      <c r="B52" s="11" t="s">
        <v>113</v>
      </c>
      <c r="C52" s="12" t="s">
        <v>69</v>
      </c>
      <c r="D52" s="13">
        <f>Параметры!$C$4*Параметры!$C$7*(1+Параметры!$C$8)^INT((A52-Параметры!$C$11-1)/12)</f>
        <v>1490756.2499999998</v>
      </c>
      <c r="E52" s="13">
        <f>D52/(1+Параметры!$C$13)</f>
        <v>1221931.3524590163</v>
      </c>
      <c r="F52" s="13">
        <f t="shared" si="10"/>
        <v>268824.89754098351</v>
      </c>
      <c r="G52" s="13">
        <f>IF(AND(A52&gt;Параметры!$C$11,A52&lt;=Параметры!$C$11+3),Параметры!$C$28,0)</f>
        <v>0</v>
      </c>
      <c r="H52" s="13">
        <f t="shared" si="11"/>
        <v>268824.89754098351</v>
      </c>
      <c r="I52" s="13">
        <f>E52*Параметры!$C$16</f>
        <v>183289.70286885244</v>
      </c>
      <c r="J52" s="13">
        <f>Параметры!$C$27</f>
        <v>85382.513661202189</v>
      </c>
      <c r="K52" s="13">
        <f>MAX(0,Параметры!$C$20-Параметры!$C$27*MAX(0,A52-Параметры!$C$11-1))*Параметры!$C$15/12</f>
        <v>68249.089253187602</v>
      </c>
      <c r="L52" s="13">
        <f t="shared" si="12"/>
        <v>885010.04667577404</v>
      </c>
      <c r="M52" s="13">
        <f>T51*Параметры!$C$10/12</f>
        <v>538939.32404560281</v>
      </c>
      <c r="N52" s="13">
        <f t="shared" si="13"/>
        <v>346070.72263017122</v>
      </c>
      <c r="O52" s="13">
        <f>MAX(0,N52*Параметры!$C$14)</f>
        <v>69214.144526034244</v>
      </c>
      <c r="P52" s="13">
        <f t="shared" si="14"/>
        <v>276856.57810413698</v>
      </c>
      <c r="Q52" s="13">
        <v>0</v>
      </c>
      <c r="R52" s="13">
        <v>0</v>
      </c>
      <c r="S52" s="13">
        <f>MAX(0,MIN(Параметры!$C$26-M52,T51))</f>
        <v>247158.59911833017</v>
      </c>
      <c r="T52" s="13">
        <f t="shared" si="15"/>
        <v>32089200.843617838</v>
      </c>
      <c r="U52" s="13">
        <f t="shared" si="16"/>
        <v>-153744.40489397454</v>
      </c>
      <c r="V52" s="13">
        <f t="shared" si="9"/>
        <v>-12411624.238675287</v>
      </c>
    </row>
    <row r="53" spans="1:22" x14ac:dyDescent="0.25">
      <c r="A53" s="14">
        <v>52</v>
      </c>
      <c r="B53" s="14" t="s">
        <v>114</v>
      </c>
      <c r="C53" s="15" t="s">
        <v>69</v>
      </c>
      <c r="D53" s="9">
        <f>Параметры!$C$4*Параметры!$C$7*(1+Параметры!$C$8)^INT((A53-Параметры!$C$11-1)/12)</f>
        <v>1490756.2499999998</v>
      </c>
      <c r="E53" s="9">
        <f>D53/(1+Параметры!$C$13)</f>
        <v>1221931.3524590163</v>
      </c>
      <c r="F53" s="9">
        <f t="shared" si="10"/>
        <v>268824.89754098351</v>
      </c>
      <c r="G53" s="9">
        <f>IF(AND(A53&gt;Параметры!$C$11,A53&lt;=Параметры!$C$11+3),Параметры!$C$28,0)</f>
        <v>0</v>
      </c>
      <c r="H53" s="9">
        <f t="shared" si="11"/>
        <v>268824.89754098351</v>
      </c>
      <c r="I53" s="9">
        <f>E53*Параметры!$C$16</f>
        <v>183289.70286885244</v>
      </c>
      <c r="J53" s="9">
        <f>Параметры!$C$27</f>
        <v>85382.513661202189</v>
      </c>
      <c r="K53" s="9">
        <f>MAX(0,Параметры!$C$20-Параметры!$C$27*MAX(0,A53-Параметры!$C$11-1))*Параметры!$C$15/12</f>
        <v>68092.554644808741</v>
      </c>
      <c r="L53" s="9">
        <f t="shared" si="12"/>
        <v>885166.58128415293</v>
      </c>
      <c r="M53" s="9">
        <f>T52*Параметры!$C$10/12</f>
        <v>534820.0140602974</v>
      </c>
      <c r="N53" s="9">
        <f t="shared" si="13"/>
        <v>350346.56722385553</v>
      </c>
      <c r="O53" s="9">
        <f>MAX(0,N53*Параметры!$C$14)</f>
        <v>70069.313444771105</v>
      </c>
      <c r="P53" s="9">
        <f t="shared" si="14"/>
        <v>280277.25377908442</v>
      </c>
      <c r="Q53" s="9">
        <v>0</v>
      </c>
      <c r="R53" s="9">
        <v>0</v>
      </c>
      <c r="S53" s="9">
        <f>MAX(0,MIN(Параметры!$C$26-M53,T52))</f>
        <v>251277.90910363558</v>
      </c>
      <c r="T53" s="9">
        <f t="shared" si="15"/>
        <v>31837922.934514202</v>
      </c>
      <c r="U53" s="9">
        <f t="shared" si="16"/>
        <v>-154443.03920433251</v>
      </c>
      <c r="V53" s="9">
        <f t="shared" si="9"/>
        <v>-12566067.27787962</v>
      </c>
    </row>
    <row r="54" spans="1:22" x14ac:dyDescent="0.25">
      <c r="A54" s="11">
        <v>53</v>
      </c>
      <c r="B54" s="11" t="s">
        <v>115</v>
      </c>
      <c r="C54" s="12" t="s">
        <v>69</v>
      </c>
      <c r="D54" s="13">
        <f>Параметры!$C$4*Параметры!$C$7*(1+Параметры!$C$8)^INT((A54-Параметры!$C$11-1)/12)</f>
        <v>1490756.2499999998</v>
      </c>
      <c r="E54" s="13">
        <f>D54/(1+Параметры!$C$13)</f>
        <v>1221931.3524590163</v>
      </c>
      <c r="F54" s="13">
        <f t="shared" si="10"/>
        <v>268824.89754098351</v>
      </c>
      <c r="G54" s="13">
        <f>IF(AND(A54&gt;Параметры!$C$11,A54&lt;=Параметры!$C$11+3),Параметры!$C$28,0)</f>
        <v>0</v>
      </c>
      <c r="H54" s="13">
        <f t="shared" si="11"/>
        <v>268824.89754098351</v>
      </c>
      <c r="I54" s="13">
        <f>E54*Параметры!$C$16</f>
        <v>183289.70286885244</v>
      </c>
      <c r="J54" s="13">
        <f>Параметры!$C$27</f>
        <v>85382.513661202189</v>
      </c>
      <c r="K54" s="13">
        <f>MAX(0,Параметры!$C$20-Параметры!$C$27*MAX(0,A54-Параметры!$C$11-1))*Параметры!$C$15/12</f>
        <v>67936.020036429865</v>
      </c>
      <c r="L54" s="13">
        <f t="shared" si="12"/>
        <v>885323.11589253182</v>
      </c>
      <c r="M54" s="13">
        <f>T53*Параметры!$C$10/12</f>
        <v>530632.04890857008</v>
      </c>
      <c r="N54" s="13">
        <f t="shared" si="13"/>
        <v>354691.06698396173</v>
      </c>
      <c r="O54" s="13">
        <f>MAX(0,N54*Параметры!$C$14)</f>
        <v>70938.213396792344</v>
      </c>
      <c r="P54" s="13">
        <f t="shared" si="14"/>
        <v>283752.85358716937</v>
      </c>
      <c r="Q54" s="13">
        <v>0</v>
      </c>
      <c r="R54" s="13">
        <v>0</v>
      </c>
      <c r="S54" s="13">
        <f>MAX(0,MIN(Параметры!$C$26-M54,T53))</f>
        <v>255465.8742553629</v>
      </c>
      <c r="T54" s="13">
        <f t="shared" si="15"/>
        <v>31582457.060258839</v>
      </c>
      <c r="U54" s="13">
        <f t="shared" si="16"/>
        <v>-155155.40454797482</v>
      </c>
      <c r="V54" s="13">
        <f t="shared" si="9"/>
        <v>-12721222.682427594</v>
      </c>
    </row>
    <row r="55" spans="1:22" x14ac:dyDescent="0.25">
      <c r="A55" s="14">
        <v>54</v>
      </c>
      <c r="B55" s="14" t="s">
        <v>116</v>
      </c>
      <c r="C55" s="15" t="s">
        <v>69</v>
      </c>
      <c r="D55" s="9">
        <f>Параметры!$C$4*Параметры!$C$7*(1+Параметры!$C$8)^INT((A55-Параметры!$C$11-1)/12)</f>
        <v>1490756.2499999998</v>
      </c>
      <c r="E55" s="9">
        <f>D55/(1+Параметры!$C$13)</f>
        <v>1221931.3524590163</v>
      </c>
      <c r="F55" s="9">
        <f t="shared" si="10"/>
        <v>268824.89754098351</v>
      </c>
      <c r="G55" s="9">
        <f>IF(AND(A55&gt;Параметры!$C$11,A55&lt;=Параметры!$C$11+3),Параметры!$C$28,0)</f>
        <v>0</v>
      </c>
      <c r="H55" s="9">
        <f t="shared" si="11"/>
        <v>268824.89754098351</v>
      </c>
      <c r="I55" s="9">
        <f>E55*Параметры!$C$16</f>
        <v>183289.70286885244</v>
      </c>
      <c r="J55" s="9">
        <f>Параметры!$C$27</f>
        <v>85382.513661202189</v>
      </c>
      <c r="K55" s="9">
        <f>MAX(0,Параметры!$C$20-Параметры!$C$27*MAX(0,A55-Параметры!$C$11-1))*Параметры!$C$15/12</f>
        <v>67779.485428051004</v>
      </c>
      <c r="L55" s="9">
        <f t="shared" si="12"/>
        <v>885479.65050091071</v>
      </c>
      <c r="M55" s="9">
        <f>T54*Параметры!$C$10/12</f>
        <v>526374.28433764738</v>
      </c>
      <c r="N55" s="9">
        <f t="shared" si="13"/>
        <v>359105.36616326333</v>
      </c>
      <c r="O55" s="9">
        <f>MAX(0,N55*Параметры!$C$14)</f>
        <v>71821.073232652663</v>
      </c>
      <c r="P55" s="9">
        <f t="shared" si="14"/>
        <v>287284.29293061065</v>
      </c>
      <c r="Q55" s="9">
        <v>0</v>
      </c>
      <c r="R55" s="9">
        <v>0</v>
      </c>
      <c r="S55" s="9">
        <f>MAX(0,MIN(Параметры!$C$26-M55,T54))</f>
        <v>259723.63882628561</v>
      </c>
      <c r="T55" s="9">
        <f t="shared" si="15"/>
        <v>31322733.421432555</v>
      </c>
      <c r="U55" s="9">
        <f t="shared" si="16"/>
        <v>-155881.72977545625</v>
      </c>
      <c r="V55" s="9">
        <f t="shared" si="9"/>
        <v>-12877104.412203051</v>
      </c>
    </row>
    <row r="56" spans="1:22" x14ac:dyDescent="0.25">
      <c r="A56" s="11">
        <v>55</v>
      </c>
      <c r="B56" s="11" t="s">
        <v>117</v>
      </c>
      <c r="C56" s="12" t="s">
        <v>69</v>
      </c>
      <c r="D56" s="13">
        <f>Параметры!$C$4*Параметры!$C$7*(1+Параметры!$C$8)^INT((A56-Параметры!$C$11-1)/12)</f>
        <v>1602562.9687499998</v>
      </c>
      <c r="E56" s="13">
        <f>D56/(1+Параметры!$C$13)</f>
        <v>1313576.2038934424</v>
      </c>
      <c r="F56" s="13">
        <f t="shared" si="10"/>
        <v>288986.76485655736</v>
      </c>
      <c r="G56" s="13">
        <f>IF(AND(A56&gt;Параметры!$C$11,A56&lt;=Параметры!$C$11+3),Параметры!$C$28,0)</f>
        <v>0</v>
      </c>
      <c r="H56" s="13">
        <f t="shared" si="11"/>
        <v>288986.76485655736</v>
      </c>
      <c r="I56" s="13">
        <f>E56*Параметры!$C$16</f>
        <v>197036.43058401634</v>
      </c>
      <c r="J56" s="13">
        <f>Параметры!$C$27</f>
        <v>85382.513661202189</v>
      </c>
      <c r="K56" s="13">
        <f>MAX(0,Параметры!$C$20-Параметры!$C$27*MAX(0,A56-Параметры!$C$11-1))*Параметры!$C$15/12</f>
        <v>67622.950819672129</v>
      </c>
      <c r="L56" s="13">
        <f t="shared" si="12"/>
        <v>963534.3088285519</v>
      </c>
      <c r="M56" s="13">
        <f>T55*Параметры!$C$10/12</f>
        <v>522045.55702387594</v>
      </c>
      <c r="N56" s="13">
        <f t="shared" si="13"/>
        <v>441488.75180467597</v>
      </c>
      <c r="O56" s="13">
        <f>MAX(0,N56*Параметры!$C$14)</f>
        <v>88297.750360935199</v>
      </c>
      <c r="P56" s="13">
        <f t="shared" si="14"/>
        <v>353191.0014437408</v>
      </c>
      <c r="Q56" s="13">
        <v>0</v>
      </c>
      <c r="R56" s="13">
        <v>0</v>
      </c>
      <c r="S56" s="13">
        <f>MAX(0,MIN(Параметры!$C$26-M56,T55))</f>
        <v>264052.36614005704</v>
      </c>
      <c r="T56" s="13">
        <f t="shared" si="15"/>
        <v>31058681.055292498</v>
      </c>
      <c r="U56" s="13">
        <f t="shared" si="16"/>
        <v>-114465.61589167145</v>
      </c>
      <c r="V56" s="13">
        <f t="shared" si="9"/>
        <v>-12991570.028094722</v>
      </c>
    </row>
    <row r="57" spans="1:22" x14ac:dyDescent="0.25">
      <c r="A57" s="14">
        <v>56</v>
      </c>
      <c r="B57" s="14" t="s">
        <v>118</v>
      </c>
      <c r="C57" s="15" t="s">
        <v>69</v>
      </c>
      <c r="D57" s="9">
        <f>Параметры!$C$4*Параметры!$C$7*(1+Параметры!$C$8)^INT((A57-Параметры!$C$11-1)/12)</f>
        <v>1602562.9687499998</v>
      </c>
      <c r="E57" s="9">
        <f>D57/(1+Параметры!$C$13)</f>
        <v>1313576.2038934424</v>
      </c>
      <c r="F57" s="9">
        <f t="shared" si="10"/>
        <v>288986.76485655736</v>
      </c>
      <c r="G57" s="9">
        <f>IF(AND(A57&gt;Параметры!$C$11,A57&lt;=Параметры!$C$11+3),Параметры!$C$28,0)</f>
        <v>0</v>
      </c>
      <c r="H57" s="9">
        <f t="shared" si="11"/>
        <v>288986.76485655736</v>
      </c>
      <c r="I57" s="9">
        <f>E57*Параметры!$C$16</f>
        <v>197036.43058401634</v>
      </c>
      <c r="J57" s="9">
        <f>Параметры!$C$27</f>
        <v>85382.513661202189</v>
      </c>
      <c r="K57" s="9">
        <f>MAX(0,Параметры!$C$20-Параметры!$C$27*MAX(0,A57-Параметры!$C$11-1))*Параметры!$C$15/12</f>
        <v>67466.416211293268</v>
      </c>
      <c r="L57" s="9">
        <f t="shared" si="12"/>
        <v>963690.84343693068</v>
      </c>
      <c r="M57" s="9">
        <f>T56*Параметры!$C$10/12</f>
        <v>517644.684254875</v>
      </c>
      <c r="N57" s="9">
        <f t="shared" si="13"/>
        <v>446046.15918205568</v>
      </c>
      <c r="O57" s="9">
        <f>MAX(0,N57*Параметры!$C$14)</f>
        <v>89209.231836411142</v>
      </c>
      <c r="P57" s="9">
        <f t="shared" si="14"/>
        <v>356836.92734564457</v>
      </c>
      <c r="Q57" s="9">
        <v>0</v>
      </c>
      <c r="R57" s="9">
        <v>0</v>
      </c>
      <c r="S57" s="9">
        <f>MAX(0,MIN(Параметры!$C$26-M57,T56))</f>
        <v>268453.23890905798</v>
      </c>
      <c r="T57" s="9">
        <f t="shared" si="15"/>
        <v>30790227.81638344</v>
      </c>
      <c r="U57" s="9">
        <f t="shared" si="16"/>
        <v>-115220.56275876862</v>
      </c>
      <c r="V57" s="9">
        <f t="shared" si="9"/>
        <v>-13106790.59085349</v>
      </c>
    </row>
    <row r="58" spans="1:22" x14ac:dyDescent="0.25">
      <c r="A58" s="11">
        <v>57</v>
      </c>
      <c r="B58" s="11" t="s">
        <v>119</v>
      </c>
      <c r="C58" s="12" t="s">
        <v>69</v>
      </c>
      <c r="D58" s="13">
        <f>Параметры!$C$4*Параметры!$C$7*(1+Параметры!$C$8)^INT((A58-Параметры!$C$11-1)/12)</f>
        <v>1602562.9687499998</v>
      </c>
      <c r="E58" s="13">
        <f>D58/(1+Параметры!$C$13)</f>
        <v>1313576.2038934424</v>
      </c>
      <c r="F58" s="13">
        <f t="shared" si="10"/>
        <v>288986.76485655736</v>
      </c>
      <c r="G58" s="13">
        <f>IF(AND(A58&gt;Параметры!$C$11,A58&lt;=Параметры!$C$11+3),Параметры!$C$28,0)</f>
        <v>0</v>
      </c>
      <c r="H58" s="13">
        <f t="shared" si="11"/>
        <v>288986.76485655736</v>
      </c>
      <c r="I58" s="13">
        <f>E58*Параметры!$C$16</f>
        <v>197036.43058401634</v>
      </c>
      <c r="J58" s="13">
        <f>Параметры!$C$27</f>
        <v>85382.513661202189</v>
      </c>
      <c r="K58" s="13">
        <f>MAX(0,Параметры!$C$20-Параметры!$C$27*MAX(0,A58-Параметры!$C$11-1))*Параметры!$C$15/12</f>
        <v>67309.881602914378</v>
      </c>
      <c r="L58" s="13">
        <f t="shared" si="12"/>
        <v>963847.37804530957</v>
      </c>
      <c r="M58" s="13">
        <f>T57*Параметры!$C$10/12</f>
        <v>513170.46360639069</v>
      </c>
      <c r="N58" s="13">
        <f t="shared" si="13"/>
        <v>450676.91443891887</v>
      </c>
      <c r="O58" s="13">
        <f>MAX(0,N58*Параметры!$C$14)</f>
        <v>90135.38288778378</v>
      </c>
      <c r="P58" s="13">
        <f t="shared" si="14"/>
        <v>360541.53155113512</v>
      </c>
      <c r="Q58" s="13">
        <v>0</v>
      </c>
      <c r="R58" s="13">
        <v>0</v>
      </c>
      <c r="S58" s="13">
        <f>MAX(0,MIN(Параметры!$C$26-M58,T57))</f>
        <v>272927.45955754229</v>
      </c>
      <c r="T58" s="13">
        <f t="shared" si="15"/>
        <v>30517300.356825899</v>
      </c>
      <c r="U58" s="13">
        <f t="shared" si="16"/>
        <v>-115990.17920176237</v>
      </c>
      <c r="V58" s="13">
        <f t="shared" si="9"/>
        <v>-13222780.770055253</v>
      </c>
    </row>
    <row r="59" spans="1:22" x14ac:dyDescent="0.25">
      <c r="A59" s="14">
        <v>58</v>
      </c>
      <c r="B59" s="14" t="s">
        <v>120</v>
      </c>
      <c r="C59" s="15" t="s">
        <v>69</v>
      </c>
      <c r="D59" s="9">
        <f>Параметры!$C$4*Параметры!$C$7*(1+Параметры!$C$8)^INT((A59-Параметры!$C$11-1)/12)</f>
        <v>1602562.9687499998</v>
      </c>
      <c r="E59" s="9">
        <f>D59/(1+Параметры!$C$13)</f>
        <v>1313576.2038934424</v>
      </c>
      <c r="F59" s="9">
        <f t="shared" si="10"/>
        <v>288986.76485655736</v>
      </c>
      <c r="G59" s="9">
        <f>IF(AND(A59&gt;Параметры!$C$11,A59&lt;=Параметры!$C$11+3),Параметры!$C$28,0)</f>
        <v>0</v>
      </c>
      <c r="H59" s="9">
        <f t="shared" si="11"/>
        <v>288986.76485655736</v>
      </c>
      <c r="I59" s="9">
        <f>E59*Параметры!$C$16</f>
        <v>197036.43058401634</v>
      </c>
      <c r="J59" s="9">
        <f>Параметры!$C$27</f>
        <v>85382.513661202189</v>
      </c>
      <c r="K59" s="9">
        <f>MAX(0,Параметры!$C$20-Параметры!$C$27*MAX(0,A59-Параметры!$C$11-1))*Параметры!$C$15/12</f>
        <v>67153.346994535517</v>
      </c>
      <c r="L59" s="9">
        <f t="shared" si="12"/>
        <v>964003.91265368846</v>
      </c>
      <c r="M59" s="9">
        <f>T58*Параметры!$C$10/12</f>
        <v>508621.67261376505</v>
      </c>
      <c r="N59" s="9">
        <f t="shared" si="13"/>
        <v>455382.2400399234</v>
      </c>
      <c r="O59" s="9">
        <f>MAX(0,N59*Параметры!$C$14)</f>
        <v>91076.448007984683</v>
      </c>
      <c r="P59" s="9">
        <f t="shared" si="14"/>
        <v>364305.79203193873</v>
      </c>
      <c r="Q59" s="9">
        <v>0</v>
      </c>
      <c r="R59" s="9">
        <v>0</v>
      </c>
      <c r="S59" s="9">
        <f>MAX(0,MIN(Параметры!$C$26-M59,T58))</f>
        <v>277476.25055016793</v>
      </c>
      <c r="T59" s="9">
        <f t="shared" si="15"/>
        <v>30239824.10627573</v>
      </c>
      <c r="U59" s="9">
        <f t="shared" si="16"/>
        <v>-116774.70971358434</v>
      </c>
      <c r="V59" s="9">
        <f t="shared" si="9"/>
        <v>-13339555.479768837</v>
      </c>
    </row>
    <row r="60" spans="1:22" x14ac:dyDescent="0.25">
      <c r="A60" s="11">
        <v>59</v>
      </c>
      <c r="B60" s="11" t="s">
        <v>121</v>
      </c>
      <c r="C60" s="12" t="s">
        <v>69</v>
      </c>
      <c r="D60" s="13">
        <f>Параметры!$C$4*Параметры!$C$7*(1+Параметры!$C$8)^INT((A60-Параметры!$C$11-1)/12)</f>
        <v>1602562.9687499998</v>
      </c>
      <c r="E60" s="13">
        <f>D60/(1+Параметры!$C$13)</f>
        <v>1313576.2038934424</v>
      </c>
      <c r="F60" s="13">
        <f t="shared" si="10"/>
        <v>288986.76485655736</v>
      </c>
      <c r="G60" s="13">
        <f>IF(AND(A60&gt;Параметры!$C$11,A60&lt;=Параметры!$C$11+3),Параметры!$C$28,0)</f>
        <v>0</v>
      </c>
      <c r="H60" s="13">
        <f t="shared" si="11"/>
        <v>288986.76485655736</v>
      </c>
      <c r="I60" s="13">
        <f>E60*Параметры!$C$16</f>
        <v>197036.43058401634</v>
      </c>
      <c r="J60" s="13">
        <f>Параметры!$C$27</f>
        <v>85382.513661202189</v>
      </c>
      <c r="K60" s="13">
        <f>MAX(0,Параметры!$C$20-Параметры!$C$27*MAX(0,A60-Параметры!$C$11-1))*Параметры!$C$15/12</f>
        <v>66996.812386156642</v>
      </c>
      <c r="L60" s="13">
        <f t="shared" si="12"/>
        <v>964160.44726206735</v>
      </c>
      <c r="M60" s="13">
        <f>T59*Параметры!$C$10/12</f>
        <v>503997.06843792886</v>
      </c>
      <c r="N60" s="13">
        <f t="shared" si="13"/>
        <v>460163.37882413849</v>
      </c>
      <c r="O60" s="13">
        <f>MAX(0,N60*Параметры!$C$14)</f>
        <v>92032.675764827698</v>
      </c>
      <c r="P60" s="13">
        <f t="shared" si="14"/>
        <v>368130.70305931079</v>
      </c>
      <c r="Q60" s="13">
        <v>0</v>
      </c>
      <c r="R60" s="13">
        <v>0</v>
      </c>
      <c r="S60" s="13">
        <f>MAX(0,MIN(Параметры!$C$26-M60,T59))</f>
        <v>282100.85472600412</v>
      </c>
      <c r="T60" s="13">
        <f t="shared" si="15"/>
        <v>29957723.251549724</v>
      </c>
      <c r="U60" s="13">
        <f t="shared" si="16"/>
        <v>-117574.40286204853</v>
      </c>
      <c r="V60" s="13">
        <f t="shared" si="9"/>
        <v>-13457129.882630885</v>
      </c>
    </row>
    <row r="61" spans="1:22" x14ac:dyDescent="0.25">
      <c r="A61" s="14">
        <v>60</v>
      </c>
      <c r="B61" s="14" t="s">
        <v>122</v>
      </c>
      <c r="C61" s="15" t="s">
        <v>69</v>
      </c>
      <c r="D61" s="9">
        <f>Параметры!$C$4*Параметры!$C$7*(1+Параметры!$C$8)^INT((A61-Параметры!$C$11-1)/12)</f>
        <v>1602562.9687499998</v>
      </c>
      <c r="E61" s="9">
        <f>D61/(1+Параметры!$C$13)</f>
        <v>1313576.2038934424</v>
      </c>
      <c r="F61" s="9">
        <f t="shared" si="10"/>
        <v>288986.76485655736</v>
      </c>
      <c r="G61" s="9">
        <f>IF(AND(A61&gt;Параметры!$C$11,A61&lt;=Параметры!$C$11+3),Параметры!$C$28,0)</f>
        <v>0</v>
      </c>
      <c r="H61" s="9">
        <f t="shared" si="11"/>
        <v>288986.76485655736</v>
      </c>
      <c r="I61" s="9">
        <f>E61*Параметры!$C$16</f>
        <v>197036.43058401634</v>
      </c>
      <c r="J61" s="9">
        <f>Параметры!$C$27</f>
        <v>85382.513661202189</v>
      </c>
      <c r="K61" s="9">
        <f>MAX(0,Параметры!$C$20-Параметры!$C$27*MAX(0,A61-Параметры!$C$11-1))*Параметры!$C$15/12</f>
        <v>66840.277777777766</v>
      </c>
      <c r="L61" s="9">
        <f t="shared" si="12"/>
        <v>964316.98187044624</v>
      </c>
      <c r="M61" s="9">
        <f>T60*Параметры!$C$10/12</f>
        <v>499295.38752582879</v>
      </c>
      <c r="N61" s="9">
        <f t="shared" si="13"/>
        <v>465021.59434461745</v>
      </c>
      <c r="O61" s="9">
        <f>MAX(0,N61*Параметры!$C$14)</f>
        <v>93004.318868923496</v>
      </c>
      <c r="P61" s="9">
        <f t="shared" si="14"/>
        <v>372017.27547569398</v>
      </c>
      <c r="Q61" s="9">
        <v>0</v>
      </c>
      <c r="R61" s="9">
        <v>0</v>
      </c>
      <c r="S61" s="9">
        <f>MAX(0,MIN(Параметры!$C$26-M61,T60))</f>
        <v>286802.53563810419</v>
      </c>
      <c r="T61" s="9">
        <f t="shared" si="15"/>
        <v>29670920.715911619</v>
      </c>
      <c r="U61" s="9">
        <f t="shared" si="16"/>
        <v>-118389.51135776541</v>
      </c>
      <c r="V61" s="9">
        <f t="shared" si="9"/>
        <v>-13575519.39398865</v>
      </c>
    </row>
    <row r="62" spans="1:22" x14ac:dyDescent="0.25">
      <c r="A62" s="11">
        <v>61</v>
      </c>
      <c r="B62" s="11" t="s">
        <v>123</v>
      </c>
      <c r="C62" s="12" t="s">
        <v>69</v>
      </c>
      <c r="D62" s="13">
        <f>Параметры!$C$4*Параметры!$C$7*(1+Параметры!$C$8)^INT((A62-Параметры!$C$11-1)/12)</f>
        <v>1602562.9687499998</v>
      </c>
      <c r="E62" s="13">
        <f>D62/(1+Параметры!$C$13)</f>
        <v>1313576.2038934424</v>
      </c>
      <c r="F62" s="13">
        <f t="shared" si="10"/>
        <v>288986.76485655736</v>
      </c>
      <c r="G62" s="13">
        <f>IF(AND(A62&gt;Параметры!$C$11,A62&lt;=Параметры!$C$11+3),Параметры!$C$28,0)</f>
        <v>0</v>
      </c>
      <c r="H62" s="13">
        <f t="shared" si="11"/>
        <v>288986.76485655736</v>
      </c>
      <c r="I62" s="13">
        <f>E62*Параметры!$C$16</f>
        <v>197036.43058401634</v>
      </c>
      <c r="J62" s="13">
        <f>Параметры!$C$27</f>
        <v>85382.513661202189</v>
      </c>
      <c r="K62" s="13">
        <f>MAX(0,Параметры!$C$20-Параметры!$C$27*MAX(0,A62-Параметры!$C$11-1))*Параметры!$C$15/12</f>
        <v>66683.743169398906</v>
      </c>
      <c r="L62" s="13">
        <f t="shared" si="12"/>
        <v>964473.51647882513</v>
      </c>
      <c r="M62" s="13">
        <f>T61*Параметры!$C$10/12</f>
        <v>494515.34526519367</v>
      </c>
      <c r="N62" s="13">
        <f t="shared" si="13"/>
        <v>469958.17121363146</v>
      </c>
      <c r="O62" s="13">
        <f>MAX(0,N62*Параметры!$C$14)</f>
        <v>93991.634242726301</v>
      </c>
      <c r="P62" s="13">
        <f t="shared" si="14"/>
        <v>375966.53697090514</v>
      </c>
      <c r="Q62" s="13">
        <v>0</v>
      </c>
      <c r="R62" s="13">
        <v>0</v>
      </c>
      <c r="S62" s="13">
        <f>MAX(0,MIN(Параметры!$C$26-M62,T61))</f>
        <v>291582.57789873931</v>
      </c>
      <c r="T62" s="13">
        <f t="shared" si="15"/>
        <v>29379338.138012879</v>
      </c>
      <c r="U62" s="13">
        <f t="shared" si="16"/>
        <v>-119220.29212318937</v>
      </c>
      <c r="V62" s="13">
        <f t="shared" si="9"/>
        <v>-13694739.686111839</v>
      </c>
    </row>
    <row r="63" spans="1:22" x14ac:dyDescent="0.25">
      <c r="A63" s="14">
        <v>62</v>
      </c>
      <c r="B63" s="14" t="s">
        <v>124</v>
      </c>
      <c r="C63" s="15" t="s">
        <v>69</v>
      </c>
      <c r="D63" s="9">
        <f>Параметры!$C$4*Параметры!$C$7*(1+Параметры!$C$8)^INT((A63-Параметры!$C$11-1)/12)</f>
        <v>1602562.9687499998</v>
      </c>
      <c r="E63" s="9">
        <f>D63/(1+Параметры!$C$13)</f>
        <v>1313576.2038934424</v>
      </c>
      <c r="F63" s="9">
        <f t="shared" si="10"/>
        <v>288986.76485655736</v>
      </c>
      <c r="G63" s="9">
        <f>IF(AND(A63&gt;Параметры!$C$11,A63&lt;=Параметры!$C$11+3),Параметры!$C$28,0)</f>
        <v>0</v>
      </c>
      <c r="H63" s="9">
        <f t="shared" si="11"/>
        <v>288986.76485655736</v>
      </c>
      <c r="I63" s="9">
        <f>E63*Параметры!$C$16</f>
        <v>197036.43058401634</v>
      </c>
      <c r="J63" s="9">
        <f>Параметры!$C$27</f>
        <v>85382.513661202189</v>
      </c>
      <c r="K63" s="9">
        <f>MAX(0,Параметры!$C$20-Параметры!$C$27*MAX(0,A63-Параметры!$C$11-1))*Параметры!$C$15/12</f>
        <v>66527.208561020016</v>
      </c>
      <c r="L63" s="9">
        <f t="shared" si="12"/>
        <v>964630.05108720402</v>
      </c>
      <c r="M63" s="9">
        <f>T62*Параметры!$C$10/12</f>
        <v>489655.63563354802</v>
      </c>
      <c r="N63" s="9">
        <f t="shared" si="13"/>
        <v>474974.41545365599</v>
      </c>
      <c r="O63" s="9">
        <f>MAX(0,N63*Параметры!$C$14)</f>
        <v>94994.883090731208</v>
      </c>
      <c r="P63" s="9">
        <f t="shared" si="14"/>
        <v>379979.53236292477</v>
      </c>
      <c r="Q63" s="9">
        <v>0</v>
      </c>
      <c r="R63" s="9">
        <v>0</v>
      </c>
      <c r="S63" s="9">
        <f>MAX(0,MIN(Параметры!$C$26-M63,T62))</f>
        <v>296442.28753038496</v>
      </c>
      <c r="T63" s="9">
        <f t="shared" si="15"/>
        <v>29082895.850482494</v>
      </c>
      <c r="U63" s="9">
        <f t="shared" si="16"/>
        <v>-120067.00636281539</v>
      </c>
      <c r="V63" s="9">
        <f t="shared" si="9"/>
        <v>-13814806.692474656</v>
      </c>
    </row>
    <row r="64" spans="1:22" x14ac:dyDescent="0.25">
      <c r="A64" s="11">
        <v>63</v>
      </c>
      <c r="B64" s="11" t="s">
        <v>125</v>
      </c>
      <c r="C64" s="12" t="s">
        <v>69</v>
      </c>
      <c r="D64" s="13">
        <f>Параметры!$C$4*Параметры!$C$7*(1+Параметры!$C$8)^INT((A64-Параметры!$C$11-1)/12)</f>
        <v>1602562.9687499998</v>
      </c>
      <c r="E64" s="13">
        <f>D64/(1+Параметры!$C$13)</f>
        <v>1313576.2038934424</v>
      </c>
      <c r="F64" s="13">
        <f t="shared" si="10"/>
        <v>288986.76485655736</v>
      </c>
      <c r="G64" s="13">
        <f>IF(AND(A64&gt;Параметры!$C$11,A64&lt;=Параметры!$C$11+3),Параметры!$C$28,0)</f>
        <v>0</v>
      </c>
      <c r="H64" s="13">
        <f t="shared" si="11"/>
        <v>288986.76485655736</v>
      </c>
      <c r="I64" s="13">
        <f>E64*Параметры!$C$16</f>
        <v>197036.43058401634</v>
      </c>
      <c r="J64" s="13">
        <f>Параметры!$C$27</f>
        <v>85382.513661202189</v>
      </c>
      <c r="K64" s="13">
        <f>MAX(0,Параметры!$C$20-Параметры!$C$27*MAX(0,A64-Параметры!$C$11-1))*Параметры!$C$15/12</f>
        <v>66370.673952641155</v>
      </c>
      <c r="L64" s="13">
        <f t="shared" si="12"/>
        <v>964786.58569558279</v>
      </c>
      <c r="M64" s="13">
        <f>T63*Параметры!$C$10/12</f>
        <v>484714.93084137491</v>
      </c>
      <c r="N64" s="13">
        <f t="shared" si="13"/>
        <v>480071.65485420788</v>
      </c>
      <c r="O64" s="13">
        <f>MAX(0,N64*Параметры!$C$14)</f>
        <v>96014.330970841576</v>
      </c>
      <c r="P64" s="13">
        <f t="shared" si="14"/>
        <v>384057.32388336631</v>
      </c>
      <c r="Q64" s="13">
        <v>0</v>
      </c>
      <c r="R64" s="13">
        <v>0</v>
      </c>
      <c r="S64" s="13">
        <f>MAX(0,MIN(Параметры!$C$26-M64,T63))</f>
        <v>301382.99232255807</v>
      </c>
      <c r="T64" s="13">
        <f t="shared" si="15"/>
        <v>28781512.858159937</v>
      </c>
      <c r="U64" s="13">
        <f t="shared" si="16"/>
        <v>-120929.91963454697</v>
      </c>
      <c r="V64" s="13">
        <f t="shared" si="9"/>
        <v>-13935736.612109203</v>
      </c>
    </row>
    <row r="65" spans="1:22" x14ac:dyDescent="0.25">
      <c r="A65" s="14">
        <v>64</v>
      </c>
      <c r="B65" s="14" t="s">
        <v>126</v>
      </c>
      <c r="C65" s="15" t="s">
        <v>69</v>
      </c>
      <c r="D65" s="9">
        <f>Параметры!$C$4*Параметры!$C$7*(1+Параметры!$C$8)^INT((A65-Параметры!$C$11-1)/12)</f>
        <v>1602562.9687499998</v>
      </c>
      <c r="E65" s="9">
        <f>D65/(1+Параметры!$C$13)</f>
        <v>1313576.2038934424</v>
      </c>
      <c r="F65" s="9">
        <f t="shared" si="10"/>
        <v>288986.76485655736</v>
      </c>
      <c r="G65" s="9">
        <f>IF(AND(A65&gt;Параметры!$C$11,A65&lt;=Параметры!$C$11+3),Параметры!$C$28,0)</f>
        <v>0</v>
      </c>
      <c r="H65" s="9">
        <f t="shared" si="11"/>
        <v>288986.76485655736</v>
      </c>
      <c r="I65" s="9">
        <f>E65*Параметры!$C$16</f>
        <v>197036.43058401634</v>
      </c>
      <c r="J65" s="9">
        <f>Параметры!$C$27</f>
        <v>85382.513661202189</v>
      </c>
      <c r="K65" s="9">
        <f>MAX(0,Параметры!$C$20-Параметры!$C$27*MAX(0,A65-Параметры!$C$11-1))*Параметры!$C$15/12</f>
        <v>66214.139344262279</v>
      </c>
      <c r="L65" s="9">
        <f t="shared" si="12"/>
        <v>964943.12030396168</v>
      </c>
      <c r="M65" s="9">
        <f>T64*Параметры!$C$10/12</f>
        <v>479691.8809693323</v>
      </c>
      <c r="N65" s="9">
        <f t="shared" si="13"/>
        <v>485251.23933462938</v>
      </c>
      <c r="O65" s="9">
        <f>MAX(0,N65*Параметры!$C$14)</f>
        <v>97050.247866925885</v>
      </c>
      <c r="P65" s="9">
        <f t="shared" si="14"/>
        <v>388200.99146770348</v>
      </c>
      <c r="Q65" s="9">
        <v>0</v>
      </c>
      <c r="R65" s="9">
        <v>0</v>
      </c>
      <c r="S65" s="9">
        <f>MAX(0,MIN(Параметры!$C$26-M65,T64))</f>
        <v>306406.04219460068</v>
      </c>
      <c r="T65" s="9">
        <f t="shared" si="15"/>
        <v>28475106.815965336</v>
      </c>
      <c r="U65" s="9">
        <f t="shared" si="16"/>
        <v>-121809.3019222524</v>
      </c>
      <c r="V65" s="9">
        <f t="shared" si="9"/>
        <v>-14057545.914031455</v>
      </c>
    </row>
    <row r="66" spans="1:22" x14ac:dyDescent="0.25">
      <c r="A66" s="11">
        <v>65</v>
      </c>
      <c r="B66" s="11" t="s">
        <v>127</v>
      </c>
      <c r="C66" s="12" t="s">
        <v>69</v>
      </c>
      <c r="D66" s="13">
        <f>Параметры!$C$4*Параметры!$C$7*(1+Параметры!$C$8)^INT((A66-Параметры!$C$11-1)/12)</f>
        <v>1602562.9687499998</v>
      </c>
      <c r="E66" s="13">
        <f>D66/(1+Параметры!$C$13)</f>
        <v>1313576.2038934424</v>
      </c>
      <c r="F66" s="13">
        <f t="shared" si="10"/>
        <v>288986.76485655736</v>
      </c>
      <c r="G66" s="13">
        <f>IF(AND(A66&gt;Параметры!$C$11,A66&lt;=Параметры!$C$11+3),Параметры!$C$28,0)</f>
        <v>0</v>
      </c>
      <c r="H66" s="13">
        <f t="shared" si="11"/>
        <v>288986.76485655736</v>
      </c>
      <c r="I66" s="13">
        <f>E66*Параметры!$C$16</f>
        <v>197036.43058401634</v>
      </c>
      <c r="J66" s="13">
        <f>Параметры!$C$27</f>
        <v>85382.513661202189</v>
      </c>
      <c r="K66" s="13">
        <f>MAX(0,Параметры!$C$20-Параметры!$C$27*MAX(0,A66-Параметры!$C$11-1))*Параметры!$C$15/12</f>
        <v>66057.604735883418</v>
      </c>
      <c r="L66" s="13">
        <f t="shared" si="12"/>
        <v>965099.65491234057</v>
      </c>
      <c r="M66" s="13">
        <f>T65*Параметры!$C$10/12</f>
        <v>474585.11359942233</v>
      </c>
      <c r="N66" s="13">
        <f t="shared" si="13"/>
        <v>490514.54131291824</v>
      </c>
      <c r="O66" s="13">
        <f>MAX(0,N66*Параметры!$C$14)</f>
        <v>98102.90826258366</v>
      </c>
      <c r="P66" s="13">
        <f t="shared" si="14"/>
        <v>392411.63305033458</v>
      </c>
      <c r="Q66" s="13">
        <v>0</v>
      </c>
      <c r="R66" s="13">
        <v>0</v>
      </c>
      <c r="S66" s="13">
        <f>MAX(0,MIN(Параметры!$C$26-M66,T65))</f>
        <v>311512.80956451065</v>
      </c>
      <c r="T66" s="13">
        <f t="shared" si="15"/>
        <v>28163594.006400824</v>
      </c>
      <c r="U66" s="13">
        <f t="shared" si="16"/>
        <v>-122705.42770953121</v>
      </c>
      <c r="V66" s="13">
        <f t="shared" si="9"/>
        <v>-14180251.341740986</v>
      </c>
    </row>
    <row r="67" spans="1:22" x14ac:dyDescent="0.25">
      <c r="A67" s="14">
        <v>66</v>
      </c>
      <c r="B67" s="14" t="s">
        <v>128</v>
      </c>
      <c r="C67" s="15" t="s">
        <v>69</v>
      </c>
      <c r="D67" s="9">
        <f>Параметры!$C$4*Параметры!$C$7*(1+Параметры!$C$8)^INT((A67-Параметры!$C$11-1)/12)</f>
        <v>1602562.9687499998</v>
      </c>
      <c r="E67" s="9">
        <f>D67/(1+Параметры!$C$13)</f>
        <v>1313576.2038934424</v>
      </c>
      <c r="F67" s="9">
        <f t="shared" si="10"/>
        <v>288986.76485655736</v>
      </c>
      <c r="G67" s="9">
        <f>IF(AND(A67&gt;Параметры!$C$11,A67&lt;=Параметры!$C$11+3),Параметры!$C$28,0)</f>
        <v>0</v>
      </c>
      <c r="H67" s="9">
        <f t="shared" si="11"/>
        <v>288986.76485655736</v>
      </c>
      <c r="I67" s="9">
        <f>E67*Параметры!$C$16</f>
        <v>197036.43058401634</v>
      </c>
      <c r="J67" s="9">
        <f>Параметры!$C$27</f>
        <v>85382.513661202189</v>
      </c>
      <c r="K67" s="9">
        <f>MAX(0,Параметры!$C$20-Параметры!$C$27*MAX(0,A67-Параметры!$C$11-1))*Параметры!$C$15/12</f>
        <v>65901.070127504543</v>
      </c>
      <c r="L67" s="9">
        <f t="shared" si="12"/>
        <v>965256.18952071946</v>
      </c>
      <c r="M67" s="9">
        <f>T66*Параметры!$C$10/12</f>
        <v>469393.23344001378</v>
      </c>
      <c r="N67" s="9">
        <f t="shared" si="13"/>
        <v>495862.95608070568</v>
      </c>
      <c r="O67" s="9">
        <f>MAX(0,N67*Параметры!$C$14)</f>
        <v>99172.59121614114</v>
      </c>
      <c r="P67" s="9">
        <f t="shared" si="14"/>
        <v>396690.36486456456</v>
      </c>
      <c r="Q67" s="9">
        <v>0</v>
      </c>
      <c r="R67" s="9">
        <v>0</v>
      </c>
      <c r="S67" s="9">
        <f>MAX(0,MIN(Параметры!$C$26-M67,T66))</f>
        <v>316704.6897239192</v>
      </c>
      <c r="T67" s="9">
        <f t="shared" si="15"/>
        <v>27846889.316676904</v>
      </c>
      <c r="U67" s="9">
        <f t="shared" si="16"/>
        <v>-123618.57605470979</v>
      </c>
      <c r="V67" s="9">
        <f t="shared" ref="V67:V98" si="17">V66+U67</f>
        <v>-14303869.917795695</v>
      </c>
    </row>
    <row r="68" spans="1:22" x14ac:dyDescent="0.25">
      <c r="A68" s="11">
        <v>67</v>
      </c>
      <c r="B68" s="11" t="s">
        <v>129</v>
      </c>
      <c r="C68" s="12" t="s">
        <v>69</v>
      </c>
      <c r="D68" s="13">
        <f>Параметры!$C$4*Параметры!$C$7*(1+Параметры!$C$8)^INT((A68-Параметры!$C$11-1)/12)</f>
        <v>1722755.1914062498</v>
      </c>
      <c r="E68" s="13">
        <f>D68/(1+Параметры!$C$13)</f>
        <v>1412094.4191854508</v>
      </c>
      <c r="F68" s="13">
        <f t="shared" si="10"/>
        <v>310660.772220799</v>
      </c>
      <c r="G68" s="13">
        <f>IF(AND(A68&gt;Параметры!$C$11,A68&lt;=Параметры!$C$11+3),Параметры!$C$28,0)</f>
        <v>0</v>
      </c>
      <c r="H68" s="13">
        <f t="shared" si="11"/>
        <v>310660.772220799</v>
      </c>
      <c r="I68" s="13">
        <f>E68*Параметры!$C$16</f>
        <v>211814.16287781761</v>
      </c>
      <c r="J68" s="13">
        <f>Параметры!$C$27</f>
        <v>85382.513661202189</v>
      </c>
      <c r="K68" s="13">
        <f>MAX(0,Параметры!$C$20-Параметры!$C$27*MAX(0,A68-Параметры!$C$11-1))*Параметры!$C$15/12</f>
        <v>65744.535519125682</v>
      </c>
      <c r="L68" s="13">
        <f t="shared" si="12"/>
        <v>1049153.2071273052</v>
      </c>
      <c r="M68" s="13">
        <f>T67*Параметры!$C$10/12</f>
        <v>464114.82194461511</v>
      </c>
      <c r="N68" s="13">
        <f t="shared" si="13"/>
        <v>585038.38518269011</v>
      </c>
      <c r="O68" s="13">
        <f>MAX(0,N68*Параметры!$C$14)</f>
        <v>117007.67703653802</v>
      </c>
      <c r="P68" s="13">
        <f t="shared" si="14"/>
        <v>468030.70814615209</v>
      </c>
      <c r="Q68" s="13">
        <v>0</v>
      </c>
      <c r="R68" s="13">
        <v>0</v>
      </c>
      <c r="S68" s="13">
        <f>MAX(0,MIN(Параметры!$C$26-M68,T67))</f>
        <v>321983.10121931788</v>
      </c>
      <c r="T68" s="13">
        <f t="shared" si="15"/>
        <v>27524906.215457585</v>
      </c>
      <c r="U68" s="13">
        <f t="shared" si="16"/>
        <v>-79230.65163276263</v>
      </c>
      <c r="V68" s="13">
        <f t="shared" si="17"/>
        <v>-14383100.569428459</v>
      </c>
    </row>
    <row r="69" spans="1:22" x14ac:dyDescent="0.25">
      <c r="A69" s="14">
        <v>68</v>
      </c>
      <c r="B69" s="14" t="s">
        <v>130</v>
      </c>
      <c r="C69" s="15" t="s">
        <v>69</v>
      </c>
      <c r="D69" s="9">
        <f>Параметры!$C$4*Параметры!$C$7*(1+Параметры!$C$8)^INT((A69-Параметры!$C$11-1)/12)</f>
        <v>1722755.1914062498</v>
      </c>
      <c r="E69" s="9">
        <f>D69/(1+Параметры!$C$13)</f>
        <v>1412094.4191854508</v>
      </c>
      <c r="F69" s="9">
        <f t="shared" si="10"/>
        <v>310660.772220799</v>
      </c>
      <c r="G69" s="9">
        <f>IF(AND(A69&gt;Параметры!$C$11,A69&lt;=Параметры!$C$11+3),Параметры!$C$28,0)</f>
        <v>0</v>
      </c>
      <c r="H69" s="9">
        <f t="shared" si="11"/>
        <v>310660.772220799</v>
      </c>
      <c r="I69" s="9">
        <f>E69*Параметры!$C$16</f>
        <v>211814.16287781761</v>
      </c>
      <c r="J69" s="9">
        <f>Параметры!$C$27</f>
        <v>85382.513661202189</v>
      </c>
      <c r="K69" s="9">
        <f>MAX(0,Параметры!$C$20-Параметры!$C$27*MAX(0,A69-Параметры!$C$11-1))*Параметры!$C$15/12</f>
        <v>65588.000910746792</v>
      </c>
      <c r="L69" s="9">
        <f t="shared" si="12"/>
        <v>1049309.741735684</v>
      </c>
      <c r="M69" s="9">
        <f>T68*Параметры!$C$10/12</f>
        <v>458748.43692429311</v>
      </c>
      <c r="N69" s="9">
        <f t="shared" si="13"/>
        <v>590561.30481139082</v>
      </c>
      <c r="O69" s="9">
        <f>MAX(0,N69*Параметры!$C$14)</f>
        <v>118112.26096227817</v>
      </c>
      <c r="P69" s="9">
        <f t="shared" si="14"/>
        <v>472449.04384911264</v>
      </c>
      <c r="Q69" s="9">
        <v>0</v>
      </c>
      <c r="R69" s="9">
        <v>0</v>
      </c>
      <c r="S69" s="9">
        <f>MAX(0,MIN(Параметры!$C$26-M69,T68))</f>
        <v>327349.48623963987</v>
      </c>
      <c r="T69" s="9">
        <f t="shared" si="15"/>
        <v>27197556.729217947</v>
      </c>
      <c r="U69" s="9">
        <f t="shared" si="16"/>
        <v>-80178.70095012401</v>
      </c>
      <c r="V69" s="9">
        <f t="shared" si="17"/>
        <v>-14463279.270378582</v>
      </c>
    </row>
    <row r="70" spans="1:22" x14ac:dyDescent="0.25">
      <c r="A70" s="11">
        <v>69</v>
      </c>
      <c r="B70" s="11" t="s">
        <v>131</v>
      </c>
      <c r="C70" s="12" t="s">
        <v>69</v>
      </c>
      <c r="D70" s="13">
        <f>Параметры!$C$4*Параметры!$C$7*(1+Параметры!$C$8)^INT((A70-Параметры!$C$11-1)/12)</f>
        <v>1722755.1914062498</v>
      </c>
      <c r="E70" s="13">
        <f>D70/(1+Параметры!$C$13)</f>
        <v>1412094.4191854508</v>
      </c>
      <c r="F70" s="13">
        <f t="shared" si="10"/>
        <v>310660.772220799</v>
      </c>
      <c r="G70" s="13">
        <f>IF(AND(A70&gt;Параметры!$C$11,A70&lt;=Параметры!$C$11+3),Параметры!$C$28,0)</f>
        <v>0</v>
      </c>
      <c r="H70" s="13">
        <f t="shared" si="11"/>
        <v>310660.772220799</v>
      </c>
      <c r="I70" s="13">
        <f>E70*Параметры!$C$16</f>
        <v>211814.16287781761</v>
      </c>
      <c r="J70" s="13">
        <f>Параметры!$C$27</f>
        <v>85382.513661202189</v>
      </c>
      <c r="K70" s="13">
        <f>MAX(0,Параметры!$C$20-Параметры!$C$27*MAX(0,A70-Параметры!$C$11-1))*Параметры!$C$15/12</f>
        <v>65431.466302367939</v>
      </c>
      <c r="L70" s="13">
        <f t="shared" si="12"/>
        <v>1049466.276344063</v>
      </c>
      <c r="M70" s="13">
        <f>T69*Параметры!$C$10/12</f>
        <v>453292.61215363251</v>
      </c>
      <c r="N70" s="13">
        <f t="shared" si="13"/>
        <v>596173.66419043043</v>
      </c>
      <c r="O70" s="13">
        <f>MAX(0,N70*Параметры!$C$14)</f>
        <v>119234.73283808609</v>
      </c>
      <c r="P70" s="13">
        <f t="shared" si="14"/>
        <v>476938.93135234434</v>
      </c>
      <c r="Q70" s="13">
        <v>0</v>
      </c>
      <c r="R70" s="13">
        <v>0</v>
      </c>
      <c r="S70" s="13">
        <f>MAX(0,MIN(Параметры!$C$26-M70,T69))</f>
        <v>332805.31101030047</v>
      </c>
      <c r="T70" s="13">
        <f t="shared" si="15"/>
        <v>26864751.418207645</v>
      </c>
      <c r="U70" s="13">
        <f t="shared" si="16"/>
        <v>-81144.638217552972</v>
      </c>
      <c r="V70" s="13">
        <f t="shared" si="17"/>
        <v>-14544423.908596136</v>
      </c>
    </row>
    <row r="71" spans="1:22" x14ac:dyDescent="0.25">
      <c r="A71" s="14">
        <v>70</v>
      </c>
      <c r="B71" s="14" t="s">
        <v>132</v>
      </c>
      <c r="C71" s="15" t="s">
        <v>69</v>
      </c>
      <c r="D71" s="9">
        <f>Параметры!$C$4*Параметры!$C$7*(1+Параметры!$C$8)^INT((A71-Параметры!$C$11-1)/12)</f>
        <v>1722755.1914062498</v>
      </c>
      <c r="E71" s="9">
        <f>D71/(1+Параметры!$C$13)</f>
        <v>1412094.4191854508</v>
      </c>
      <c r="F71" s="9">
        <f t="shared" si="10"/>
        <v>310660.772220799</v>
      </c>
      <c r="G71" s="9">
        <f>IF(AND(A71&gt;Параметры!$C$11,A71&lt;=Параметры!$C$11+3),Параметры!$C$28,0)</f>
        <v>0</v>
      </c>
      <c r="H71" s="9">
        <f t="shared" si="11"/>
        <v>310660.772220799</v>
      </c>
      <c r="I71" s="9">
        <f>E71*Параметры!$C$16</f>
        <v>211814.16287781761</v>
      </c>
      <c r="J71" s="9">
        <f>Параметры!$C$27</f>
        <v>85382.513661202189</v>
      </c>
      <c r="K71" s="9">
        <f>MAX(0,Параметры!$C$20-Параметры!$C$27*MAX(0,A71-Параметры!$C$11-1))*Параметры!$C$15/12</f>
        <v>65274.931693989056</v>
      </c>
      <c r="L71" s="9">
        <f t="shared" si="12"/>
        <v>1049622.8109524418</v>
      </c>
      <c r="M71" s="9">
        <f>T70*Параметры!$C$10/12</f>
        <v>447745.85697012744</v>
      </c>
      <c r="N71" s="9">
        <f t="shared" si="13"/>
        <v>601876.95398231433</v>
      </c>
      <c r="O71" s="9">
        <f>MAX(0,N71*Параметры!$C$14)</f>
        <v>120375.39079646287</v>
      </c>
      <c r="P71" s="9">
        <f t="shared" si="14"/>
        <v>481501.56318585144</v>
      </c>
      <c r="Q71" s="9">
        <v>0</v>
      </c>
      <c r="R71" s="9">
        <v>0</v>
      </c>
      <c r="S71" s="9">
        <f>MAX(0,MIN(Параметры!$C$26-M71,T70))</f>
        <v>338352.06619380554</v>
      </c>
      <c r="T71" s="9">
        <f t="shared" si="15"/>
        <v>26526399.352013841</v>
      </c>
      <c r="U71" s="9">
        <f t="shared" si="16"/>
        <v>-82128.761567550944</v>
      </c>
      <c r="V71" s="9">
        <f t="shared" si="17"/>
        <v>-14626552.670163687</v>
      </c>
    </row>
    <row r="72" spans="1:22" x14ac:dyDescent="0.25">
      <c r="A72" s="11">
        <v>71</v>
      </c>
      <c r="B72" s="11" t="s">
        <v>133</v>
      </c>
      <c r="C72" s="12" t="s">
        <v>69</v>
      </c>
      <c r="D72" s="13">
        <f>Параметры!$C$4*Параметры!$C$7*(1+Параметры!$C$8)^INT((A72-Параметры!$C$11-1)/12)</f>
        <v>1722755.1914062498</v>
      </c>
      <c r="E72" s="13">
        <f>D72/(1+Параметры!$C$13)</f>
        <v>1412094.4191854508</v>
      </c>
      <c r="F72" s="13">
        <f t="shared" ref="F72:F103" si="18">D72-E72</f>
        <v>310660.772220799</v>
      </c>
      <c r="G72" s="13">
        <f>IF(AND(A72&gt;Параметры!$C$11,A72&lt;=Параметры!$C$11+3),Параметры!$C$28,0)</f>
        <v>0</v>
      </c>
      <c r="H72" s="13">
        <f t="shared" ref="H72:H103" si="19">F72-G72</f>
        <v>310660.772220799</v>
      </c>
      <c r="I72" s="13">
        <f>E72*Параметры!$C$16</f>
        <v>211814.16287781761</v>
      </c>
      <c r="J72" s="13">
        <f>Параметры!$C$27</f>
        <v>85382.513661202189</v>
      </c>
      <c r="K72" s="13">
        <f>MAX(0,Параметры!$C$20-Параметры!$C$27*MAX(0,A72-Параметры!$C$11-1))*Параметры!$C$15/12</f>
        <v>65118.397085610195</v>
      </c>
      <c r="L72" s="13">
        <f t="shared" ref="L72:L103" si="20">E72-I72-J72-K72</f>
        <v>1049779.3455608208</v>
      </c>
      <c r="M72" s="13">
        <f>T71*Параметры!$C$10/12</f>
        <v>442106.65586689737</v>
      </c>
      <c r="N72" s="13">
        <f t="shared" ref="N72:N103" si="21">L72-M72</f>
        <v>607672.68969392334</v>
      </c>
      <c r="O72" s="13">
        <f>MAX(0,N72*Параметры!$C$14)</f>
        <v>121534.53793878468</v>
      </c>
      <c r="P72" s="13">
        <f t="shared" ref="P72:P103" si="22">N72-O72</f>
        <v>486138.15175513865</v>
      </c>
      <c r="Q72" s="13">
        <v>0</v>
      </c>
      <c r="R72" s="13">
        <v>0</v>
      </c>
      <c r="S72" s="13">
        <f>MAX(0,MIN(Параметры!$C$26-M72,T71))</f>
        <v>343991.26729703561</v>
      </c>
      <c r="T72" s="13">
        <f t="shared" ref="T72:T103" si="23">MAX(0,T71-S72)</f>
        <v>26182408.084716804</v>
      </c>
      <c r="U72" s="13">
        <f t="shared" ref="U72:U103" si="24">P72+J72-S72-H72</f>
        <v>-83131.374101493799</v>
      </c>
      <c r="V72" s="13">
        <f t="shared" si="17"/>
        <v>-14709684.044265181</v>
      </c>
    </row>
    <row r="73" spans="1:22" x14ac:dyDescent="0.25">
      <c r="A73" s="14">
        <v>72</v>
      </c>
      <c r="B73" s="14" t="s">
        <v>134</v>
      </c>
      <c r="C73" s="15" t="s">
        <v>69</v>
      </c>
      <c r="D73" s="9">
        <f>Параметры!$C$4*Параметры!$C$7*(1+Параметры!$C$8)^INT((A73-Параметры!$C$11-1)/12)</f>
        <v>1722755.1914062498</v>
      </c>
      <c r="E73" s="9">
        <f>D73/(1+Параметры!$C$13)</f>
        <v>1412094.4191854508</v>
      </c>
      <c r="F73" s="9">
        <f t="shared" si="18"/>
        <v>310660.772220799</v>
      </c>
      <c r="G73" s="9">
        <f>IF(AND(A73&gt;Параметры!$C$11,A73&lt;=Параметры!$C$11+3),Параметры!$C$28,0)</f>
        <v>0</v>
      </c>
      <c r="H73" s="9">
        <f t="shared" si="19"/>
        <v>310660.772220799</v>
      </c>
      <c r="I73" s="9">
        <f>E73*Параметры!$C$16</f>
        <v>211814.16287781761</v>
      </c>
      <c r="J73" s="9">
        <f>Параметры!$C$27</f>
        <v>85382.513661202189</v>
      </c>
      <c r="K73" s="9">
        <f>MAX(0,Параметры!$C$20-Параметры!$C$27*MAX(0,A73-Параметры!$C$11-1))*Параметры!$C$15/12</f>
        <v>64961.862477231327</v>
      </c>
      <c r="L73" s="9">
        <f t="shared" si="20"/>
        <v>1049935.8801691995</v>
      </c>
      <c r="M73" s="9">
        <f>T72*Параметры!$C$10/12</f>
        <v>436373.46807861346</v>
      </c>
      <c r="N73" s="9">
        <f t="shared" si="21"/>
        <v>613562.41209058603</v>
      </c>
      <c r="O73" s="9">
        <f>MAX(0,N73*Параметры!$C$14)</f>
        <v>122712.48241811722</v>
      </c>
      <c r="P73" s="9">
        <f t="shared" si="22"/>
        <v>490849.9296724688</v>
      </c>
      <c r="Q73" s="9">
        <v>0</v>
      </c>
      <c r="R73" s="9">
        <v>0</v>
      </c>
      <c r="S73" s="9">
        <f>MAX(0,MIN(Параметры!$C$26-M73,T72))</f>
        <v>349724.45508531953</v>
      </c>
      <c r="T73" s="9">
        <f t="shared" si="23"/>
        <v>25832683.629631486</v>
      </c>
      <c r="U73" s="9">
        <f t="shared" si="24"/>
        <v>-84152.783972447563</v>
      </c>
      <c r="V73" s="9">
        <f t="shared" si="17"/>
        <v>-14793836.828237629</v>
      </c>
    </row>
    <row r="74" spans="1:22" x14ac:dyDescent="0.25">
      <c r="A74" s="11">
        <v>73</v>
      </c>
      <c r="B74" s="11" t="s">
        <v>135</v>
      </c>
      <c r="C74" s="12" t="s">
        <v>69</v>
      </c>
      <c r="D74" s="13">
        <f>Параметры!$C$4*Параметры!$C$7*(1+Параметры!$C$8)^INT((A74-Параметры!$C$11-1)/12)</f>
        <v>1722755.1914062498</v>
      </c>
      <c r="E74" s="13">
        <f>D74/(1+Параметры!$C$13)</f>
        <v>1412094.4191854508</v>
      </c>
      <c r="F74" s="13">
        <f t="shared" si="18"/>
        <v>310660.772220799</v>
      </c>
      <c r="G74" s="13">
        <f>IF(AND(A74&gt;Параметры!$C$11,A74&lt;=Параметры!$C$11+3),Параметры!$C$28,0)</f>
        <v>0</v>
      </c>
      <c r="H74" s="13">
        <f t="shared" si="19"/>
        <v>310660.772220799</v>
      </c>
      <c r="I74" s="13">
        <f>E74*Параметры!$C$16</f>
        <v>211814.16287781761</v>
      </c>
      <c r="J74" s="13">
        <f>Параметры!$C$27</f>
        <v>85382.513661202189</v>
      </c>
      <c r="K74" s="13">
        <f>MAX(0,Параметры!$C$20-Параметры!$C$27*MAX(0,A74-Параметры!$C$11-1))*Параметры!$C$15/12</f>
        <v>64805.327868852452</v>
      </c>
      <c r="L74" s="13">
        <f t="shared" si="20"/>
        <v>1050092.4147775783</v>
      </c>
      <c r="M74" s="13">
        <f>T73*Параметры!$C$10/12</f>
        <v>430544.72716052481</v>
      </c>
      <c r="N74" s="13">
        <f t="shared" si="21"/>
        <v>619547.68761705351</v>
      </c>
      <c r="O74" s="13">
        <f>MAX(0,N74*Параметры!$C$14)</f>
        <v>123909.53752341071</v>
      </c>
      <c r="P74" s="13">
        <f t="shared" si="22"/>
        <v>495638.15009364282</v>
      </c>
      <c r="Q74" s="13">
        <v>0</v>
      </c>
      <c r="R74" s="13">
        <v>0</v>
      </c>
      <c r="S74" s="13">
        <f>MAX(0,MIN(Параметры!$C$26-M74,T73))</f>
        <v>355553.19600340817</v>
      </c>
      <c r="T74" s="13">
        <f t="shared" si="23"/>
        <v>25477130.433628079</v>
      </c>
      <c r="U74" s="13">
        <f t="shared" si="24"/>
        <v>-85193.304469362134</v>
      </c>
      <c r="V74" s="13">
        <f t="shared" si="17"/>
        <v>-14879030.13270699</v>
      </c>
    </row>
    <row r="75" spans="1:22" x14ac:dyDescent="0.25">
      <c r="A75" s="14">
        <v>74</v>
      </c>
      <c r="B75" s="14" t="s">
        <v>136</v>
      </c>
      <c r="C75" s="15" t="s">
        <v>69</v>
      </c>
      <c r="D75" s="9">
        <f>Параметры!$C$4*Параметры!$C$7*(1+Параметры!$C$8)^INT((A75-Параметры!$C$11-1)/12)</f>
        <v>1722755.1914062498</v>
      </c>
      <c r="E75" s="9">
        <f>D75/(1+Параметры!$C$13)</f>
        <v>1412094.4191854508</v>
      </c>
      <c r="F75" s="9">
        <f t="shared" si="18"/>
        <v>310660.772220799</v>
      </c>
      <c r="G75" s="9">
        <f>IF(AND(A75&gt;Параметры!$C$11,A75&lt;=Параметры!$C$11+3),Параметры!$C$28,0)</f>
        <v>0</v>
      </c>
      <c r="H75" s="9">
        <f t="shared" si="19"/>
        <v>310660.772220799</v>
      </c>
      <c r="I75" s="9">
        <f>E75*Параметры!$C$16</f>
        <v>211814.16287781761</v>
      </c>
      <c r="J75" s="9">
        <f>Параметры!$C$27</f>
        <v>85382.513661202189</v>
      </c>
      <c r="K75" s="9">
        <f>MAX(0,Параметры!$C$20-Параметры!$C$27*MAX(0,A75-Параметры!$C$11-1))*Параметры!$C$15/12</f>
        <v>64648.793260473583</v>
      </c>
      <c r="L75" s="9">
        <f t="shared" si="20"/>
        <v>1050248.9493859573</v>
      </c>
      <c r="M75" s="9">
        <f>T74*Параметры!$C$10/12</f>
        <v>424618.84056046797</v>
      </c>
      <c r="N75" s="9">
        <f t="shared" si="21"/>
        <v>625630.10882548941</v>
      </c>
      <c r="O75" s="9">
        <f>MAX(0,N75*Параметры!$C$14)</f>
        <v>125126.02176509789</v>
      </c>
      <c r="P75" s="9">
        <f t="shared" si="22"/>
        <v>500504.08706039155</v>
      </c>
      <c r="Q75" s="9">
        <v>0</v>
      </c>
      <c r="R75" s="9">
        <v>0</v>
      </c>
      <c r="S75" s="9">
        <f>MAX(0,MIN(Параметры!$C$26-M75,T74))</f>
        <v>361479.08260346501</v>
      </c>
      <c r="T75" s="9">
        <f t="shared" si="23"/>
        <v>25115651.351024613</v>
      </c>
      <c r="U75" s="9">
        <f t="shared" si="24"/>
        <v>-86253.254102670297</v>
      </c>
      <c r="V75" s="9">
        <f t="shared" si="17"/>
        <v>-14965283.38680966</v>
      </c>
    </row>
    <row r="76" spans="1:22" x14ac:dyDescent="0.25">
      <c r="A76" s="11">
        <v>75</v>
      </c>
      <c r="B76" s="11" t="s">
        <v>137</v>
      </c>
      <c r="C76" s="12" t="s">
        <v>69</v>
      </c>
      <c r="D76" s="13">
        <f>Параметры!$C$4*Параметры!$C$7*(1+Параметры!$C$8)^INT((A76-Параметры!$C$11-1)/12)</f>
        <v>1722755.1914062498</v>
      </c>
      <c r="E76" s="13">
        <f>D76/(1+Параметры!$C$13)</f>
        <v>1412094.4191854508</v>
      </c>
      <c r="F76" s="13">
        <f t="shared" si="18"/>
        <v>310660.772220799</v>
      </c>
      <c r="G76" s="13">
        <f>IF(AND(A76&gt;Параметры!$C$11,A76&lt;=Параметры!$C$11+3),Параметры!$C$28,0)</f>
        <v>0</v>
      </c>
      <c r="H76" s="13">
        <f t="shared" si="19"/>
        <v>310660.772220799</v>
      </c>
      <c r="I76" s="13">
        <f>E76*Параметры!$C$16</f>
        <v>211814.16287781761</v>
      </c>
      <c r="J76" s="13">
        <f>Параметры!$C$27</f>
        <v>85382.513661202189</v>
      </c>
      <c r="K76" s="13">
        <f>MAX(0,Параметры!$C$20-Параметры!$C$27*MAX(0,A76-Параметры!$C$11-1))*Параметры!$C$15/12</f>
        <v>64492.258652094715</v>
      </c>
      <c r="L76" s="13">
        <f t="shared" si="20"/>
        <v>1050405.4839943361</v>
      </c>
      <c r="M76" s="13">
        <f>T75*Параметры!$C$10/12</f>
        <v>418594.18918374361</v>
      </c>
      <c r="N76" s="13">
        <f t="shared" si="21"/>
        <v>631811.29481059243</v>
      </c>
      <c r="O76" s="13">
        <f>MAX(0,N76*Параметры!$C$14)</f>
        <v>126362.25896211849</v>
      </c>
      <c r="P76" s="13">
        <f t="shared" si="22"/>
        <v>505449.03584847396</v>
      </c>
      <c r="Q76" s="13">
        <v>0</v>
      </c>
      <c r="R76" s="13">
        <v>0</v>
      </c>
      <c r="S76" s="13">
        <f>MAX(0,MIN(Параметры!$C$26-M76,T75))</f>
        <v>367503.73398018937</v>
      </c>
      <c r="T76" s="13">
        <f t="shared" si="23"/>
        <v>24748147.617044423</v>
      </c>
      <c r="U76" s="13">
        <f t="shared" si="24"/>
        <v>-87332.956691312196</v>
      </c>
      <c r="V76" s="13">
        <f t="shared" si="17"/>
        <v>-15052616.343500972</v>
      </c>
    </row>
    <row r="77" spans="1:22" x14ac:dyDescent="0.25">
      <c r="A77" s="14">
        <v>76</v>
      </c>
      <c r="B77" s="14" t="s">
        <v>138</v>
      </c>
      <c r="C77" s="15" t="s">
        <v>69</v>
      </c>
      <c r="D77" s="9">
        <f>Параметры!$C$4*Параметры!$C$7*(1+Параметры!$C$8)^INT((A77-Параметры!$C$11-1)/12)</f>
        <v>1722755.1914062498</v>
      </c>
      <c r="E77" s="9">
        <f>D77/(1+Параметры!$C$13)</f>
        <v>1412094.4191854508</v>
      </c>
      <c r="F77" s="9">
        <f t="shared" si="18"/>
        <v>310660.772220799</v>
      </c>
      <c r="G77" s="9">
        <f>IF(AND(A77&gt;Параметры!$C$11,A77&lt;=Параметры!$C$11+3),Параметры!$C$28,0)</f>
        <v>0</v>
      </c>
      <c r="H77" s="9">
        <f t="shared" si="19"/>
        <v>310660.772220799</v>
      </c>
      <c r="I77" s="9">
        <f>E77*Параметры!$C$16</f>
        <v>211814.16287781761</v>
      </c>
      <c r="J77" s="9">
        <f>Параметры!$C$27</f>
        <v>85382.513661202189</v>
      </c>
      <c r="K77" s="9">
        <f>MAX(0,Параметры!$C$20-Параметры!$C$27*MAX(0,A77-Параметры!$C$11-1))*Параметры!$C$15/12</f>
        <v>64335.72404371584</v>
      </c>
      <c r="L77" s="9">
        <f t="shared" si="20"/>
        <v>1050562.0186027151</v>
      </c>
      <c r="M77" s="9">
        <f>T76*Параметры!$C$10/12</f>
        <v>412469.12695074041</v>
      </c>
      <c r="N77" s="9">
        <f t="shared" si="21"/>
        <v>638092.89165197476</v>
      </c>
      <c r="O77" s="9">
        <f>MAX(0,N77*Параметры!$C$14)</f>
        <v>127618.57833039496</v>
      </c>
      <c r="P77" s="9">
        <f t="shared" si="22"/>
        <v>510474.31332157983</v>
      </c>
      <c r="Q77" s="9">
        <v>0</v>
      </c>
      <c r="R77" s="9">
        <v>0</v>
      </c>
      <c r="S77" s="9">
        <f>MAX(0,MIN(Параметры!$C$26-M77,T76))</f>
        <v>373628.79621319257</v>
      </c>
      <c r="T77" s="9">
        <f t="shared" si="23"/>
        <v>24374518.820831232</v>
      </c>
      <c r="U77" s="9">
        <f t="shared" si="24"/>
        <v>-88432.741451209586</v>
      </c>
      <c r="V77" s="9">
        <f t="shared" si="17"/>
        <v>-15141049.084952181</v>
      </c>
    </row>
    <row r="78" spans="1:22" x14ac:dyDescent="0.25">
      <c r="A78" s="11">
        <v>77</v>
      </c>
      <c r="B78" s="11" t="s">
        <v>139</v>
      </c>
      <c r="C78" s="12" t="s">
        <v>69</v>
      </c>
      <c r="D78" s="13">
        <f>Параметры!$C$4*Параметры!$C$7*(1+Параметры!$C$8)^INT((A78-Параметры!$C$11-1)/12)</f>
        <v>1722755.1914062498</v>
      </c>
      <c r="E78" s="13">
        <f>D78/(1+Параметры!$C$13)</f>
        <v>1412094.4191854508</v>
      </c>
      <c r="F78" s="13">
        <f t="shared" si="18"/>
        <v>310660.772220799</v>
      </c>
      <c r="G78" s="13">
        <f>IF(AND(A78&gt;Параметры!$C$11,A78&lt;=Параметры!$C$11+3),Параметры!$C$28,0)</f>
        <v>0</v>
      </c>
      <c r="H78" s="13">
        <f t="shared" si="19"/>
        <v>310660.772220799</v>
      </c>
      <c r="I78" s="13">
        <f>E78*Параметры!$C$16</f>
        <v>211814.16287781761</v>
      </c>
      <c r="J78" s="13">
        <f>Параметры!$C$27</f>
        <v>85382.513661202189</v>
      </c>
      <c r="K78" s="13">
        <f>MAX(0,Параметры!$C$20-Параметры!$C$27*MAX(0,A78-Параметры!$C$11-1))*Параметры!$C$15/12</f>
        <v>64179.189435336972</v>
      </c>
      <c r="L78" s="13">
        <f t="shared" si="20"/>
        <v>1050718.5532110939</v>
      </c>
      <c r="M78" s="13">
        <f>T77*Параметры!$C$10/12</f>
        <v>406241.9803471872</v>
      </c>
      <c r="N78" s="13">
        <f t="shared" si="21"/>
        <v>644476.57286390662</v>
      </c>
      <c r="O78" s="13">
        <f>MAX(0,N78*Параметры!$C$14)</f>
        <v>128895.31457278132</v>
      </c>
      <c r="P78" s="13">
        <f t="shared" si="22"/>
        <v>515581.2582911253</v>
      </c>
      <c r="Q78" s="13">
        <v>0</v>
      </c>
      <c r="R78" s="13">
        <v>0</v>
      </c>
      <c r="S78" s="13">
        <f>MAX(0,MIN(Параметры!$C$26-M78,T77))</f>
        <v>379855.94281674578</v>
      </c>
      <c r="T78" s="13">
        <f t="shared" si="23"/>
        <v>23994662.878014486</v>
      </c>
      <c r="U78" s="13">
        <f t="shared" si="24"/>
        <v>-89552.943085217325</v>
      </c>
      <c r="V78" s="13">
        <f t="shared" si="17"/>
        <v>-15230602.028037399</v>
      </c>
    </row>
    <row r="79" spans="1:22" x14ac:dyDescent="0.25">
      <c r="A79" s="14">
        <v>78</v>
      </c>
      <c r="B79" s="14" t="s">
        <v>140</v>
      </c>
      <c r="C79" s="15" t="s">
        <v>69</v>
      </c>
      <c r="D79" s="9">
        <f>Параметры!$C$4*Параметры!$C$7*(1+Параметры!$C$8)^INT((A79-Параметры!$C$11-1)/12)</f>
        <v>1722755.1914062498</v>
      </c>
      <c r="E79" s="9">
        <f>D79/(1+Параметры!$C$13)</f>
        <v>1412094.4191854508</v>
      </c>
      <c r="F79" s="9">
        <f t="shared" si="18"/>
        <v>310660.772220799</v>
      </c>
      <c r="G79" s="9">
        <f>IF(AND(A79&gt;Параметры!$C$11,A79&lt;=Параметры!$C$11+3),Параметры!$C$28,0)</f>
        <v>0</v>
      </c>
      <c r="H79" s="9">
        <f t="shared" si="19"/>
        <v>310660.772220799</v>
      </c>
      <c r="I79" s="9">
        <f>E79*Параметры!$C$16</f>
        <v>211814.16287781761</v>
      </c>
      <c r="J79" s="9">
        <f>Параметры!$C$27</f>
        <v>85382.513661202189</v>
      </c>
      <c r="K79" s="9">
        <f>MAX(0,Параметры!$C$20-Параметры!$C$27*MAX(0,A79-Параметры!$C$11-1))*Параметры!$C$15/12</f>
        <v>64022.654826958104</v>
      </c>
      <c r="L79" s="9">
        <f t="shared" si="20"/>
        <v>1050875.0878194727</v>
      </c>
      <c r="M79" s="9">
        <f>T78*Параметры!$C$10/12</f>
        <v>399911.04796690814</v>
      </c>
      <c r="N79" s="9">
        <f t="shared" si="21"/>
        <v>650964.03985256446</v>
      </c>
      <c r="O79" s="9">
        <f>MAX(0,N79*Параметры!$C$14)</f>
        <v>130192.80797051289</v>
      </c>
      <c r="P79" s="9">
        <f t="shared" si="22"/>
        <v>520771.23188205156</v>
      </c>
      <c r="Q79" s="9">
        <v>0</v>
      </c>
      <c r="R79" s="9">
        <v>0</v>
      </c>
      <c r="S79" s="9">
        <f>MAX(0,MIN(Параметры!$C$26-M79,T78))</f>
        <v>386186.87519702484</v>
      </c>
      <c r="T79" s="9">
        <f t="shared" si="23"/>
        <v>23608476.002817463</v>
      </c>
      <c r="U79" s="9">
        <f t="shared" si="24"/>
        <v>-90693.901874570118</v>
      </c>
      <c r="V79" s="9">
        <f t="shared" si="17"/>
        <v>-15321295.929911969</v>
      </c>
    </row>
    <row r="80" spans="1:22" x14ac:dyDescent="0.25">
      <c r="A80" s="11">
        <v>79</v>
      </c>
      <c r="B80" s="11" t="s">
        <v>141</v>
      </c>
      <c r="C80" s="12" t="s">
        <v>69</v>
      </c>
      <c r="D80" s="13">
        <f>Параметры!$C$4*Параметры!$C$7*(1+Параметры!$C$8)^INT((A80-Параметры!$C$11-1)/12)</f>
        <v>1851961.8307617183</v>
      </c>
      <c r="E80" s="13">
        <f>D80/(1+Параметры!$C$13)</f>
        <v>1518001.5006243594</v>
      </c>
      <c r="F80" s="13">
        <f t="shared" si="18"/>
        <v>333960.33013735898</v>
      </c>
      <c r="G80" s="13">
        <f>IF(AND(A80&gt;Параметры!$C$11,A80&lt;=Параметры!$C$11+3),Параметры!$C$28,0)</f>
        <v>0</v>
      </c>
      <c r="H80" s="13">
        <f t="shared" si="19"/>
        <v>333960.33013735898</v>
      </c>
      <c r="I80" s="13">
        <f>E80*Параметры!$C$16</f>
        <v>227700.22509365389</v>
      </c>
      <c r="J80" s="13">
        <f>Параметры!$C$27</f>
        <v>85382.513661202189</v>
      </c>
      <c r="K80" s="13">
        <f>MAX(0,Параметры!$C$20-Параметры!$C$27*MAX(0,A80-Параметры!$C$11-1))*Параметры!$C$15/12</f>
        <v>63866.120218579228</v>
      </c>
      <c r="L80" s="13">
        <f t="shared" si="20"/>
        <v>1141052.641650924</v>
      </c>
      <c r="M80" s="13">
        <f>T79*Параметры!$C$10/12</f>
        <v>393474.60004695778</v>
      </c>
      <c r="N80" s="13">
        <f t="shared" si="21"/>
        <v>747578.04160396615</v>
      </c>
      <c r="O80" s="13">
        <f>MAX(0,N80*Параметры!$C$14)</f>
        <v>149515.60832079322</v>
      </c>
      <c r="P80" s="13">
        <f t="shared" si="22"/>
        <v>598062.4332831729</v>
      </c>
      <c r="Q80" s="13">
        <v>0</v>
      </c>
      <c r="R80" s="13">
        <v>0</v>
      </c>
      <c r="S80" s="13">
        <f>MAX(0,MIN(Параметры!$C$26-M80,T79))</f>
        <v>392623.3231169752</v>
      </c>
      <c r="T80" s="13">
        <f t="shared" si="23"/>
        <v>23215852.679700486</v>
      </c>
      <c r="U80" s="13">
        <f t="shared" si="24"/>
        <v>-43138.706309959118</v>
      </c>
      <c r="V80" s="13">
        <f t="shared" si="17"/>
        <v>-15364434.636221929</v>
      </c>
    </row>
    <row r="81" spans="1:22" x14ac:dyDescent="0.25">
      <c r="A81" s="14">
        <v>80</v>
      </c>
      <c r="B81" s="14" t="s">
        <v>142</v>
      </c>
      <c r="C81" s="15" t="s">
        <v>69</v>
      </c>
      <c r="D81" s="9">
        <f>Параметры!$C$4*Параметры!$C$7*(1+Параметры!$C$8)^INT((A81-Параметры!$C$11-1)/12)</f>
        <v>1851961.8307617183</v>
      </c>
      <c r="E81" s="9">
        <f>D81/(1+Параметры!$C$13)</f>
        <v>1518001.5006243594</v>
      </c>
      <c r="F81" s="9">
        <f t="shared" si="18"/>
        <v>333960.33013735898</v>
      </c>
      <c r="G81" s="9">
        <f>IF(AND(A81&gt;Параметры!$C$11,A81&lt;=Параметры!$C$11+3),Параметры!$C$28,0)</f>
        <v>0</v>
      </c>
      <c r="H81" s="9">
        <f t="shared" si="19"/>
        <v>333960.33013735898</v>
      </c>
      <c r="I81" s="9">
        <f>E81*Параметры!$C$16</f>
        <v>227700.22509365389</v>
      </c>
      <c r="J81" s="9">
        <f>Параметры!$C$27</f>
        <v>85382.513661202189</v>
      </c>
      <c r="K81" s="9">
        <f>MAX(0,Параметры!$C$20-Параметры!$C$27*MAX(0,A81-Параметры!$C$11-1))*Параметры!$C$15/12</f>
        <v>63709.58561020036</v>
      </c>
      <c r="L81" s="9">
        <f t="shared" si="20"/>
        <v>1141209.1762593028</v>
      </c>
      <c r="M81" s="9">
        <f>T80*Параметры!$C$10/12</f>
        <v>386930.87799500814</v>
      </c>
      <c r="N81" s="9">
        <f t="shared" si="21"/>
        <v>754278.29826429463</v>
      </c>
      <c r="O81" s="9">
        <f>MAX(0,N81*Параметры!$C$14)</f>
        <v>150855.65965285894</v>
      </c>
      <c r="P81" s="9">
        <f t="shared" si="22"/>
        <v>603422.63861143566</v>
      </c>
      <c r="Q81" s="9">
        <v>0</v>
      </c>
      <c r="R81" s="9">
        <v>0</v>
      </c>
      <c r="S81" s="9">
        <f>MAX(0,MIN(Параметры!$C$26-M81,T80))</f>
        <v>399167.04516892484</v>
      </c>
      <c r="T81" s="9">
        <f t="shared" si="23"/>
        <v>22816685.634531561</v>
      </c>
      <c r="U81" s="9">
        <f t="shared" si="24"/>
        <v>-44322.223033646005</v>
      </c>
      <c r="V81" s="9">
        <f t="shared" si="17"/>
        <v>-15408756.859255575</v>
      </c>
    </row>
    <row r="82" spans="1:22" x14ac:dyDescent="0.25">
      <c r="A82" s="11">
        <v>81</v>
      </c>
      <c r="B82" s="11" t="s">
        <v>143</v>
      </c>
      <c r="C82" s="12" t="s">
        <v>69</v>
      </c>
      <c r="D82" s="13">
        <f>Параметры!$C$4*Параметры!$C$7*(1+Параметры!$C$8)^INT((A82-Параметры!$C$11-1)/12)</f>
        <v>1851961.8307617183</v>
      </c>
      <c r="E82" s="13">
        <f>D82/(1+Параметры!$C$13)</f>
        <v>1518001.5006243594</v>
      </c>
      <c r="F82" s="13">
        <f t="shared" si="18"/>
        <v>333960.33013735898</v>
      </c>
      <c r="G82" s="13">
        <f>IF(AND(A82&gt;Параметры!$C$11,A82&lt;=Параметры!$C$11+3),Параметры!$C$28,0)</f>
        <v>0</v>
      </c>
      <c r="H82" s="13">
        <f t="shared" si="19"/>
        <v>333960.33013735898</v>
      </c>
      <c r="I82" s="13">
        <f>E82*Параметры!$C$16</f>
        <v>227700.22509365389</v>
      </c>
      <c r="J82" s="13">
        <f>Параметры!$C$27</f>
        <v>85382.513661202189</v>
      </c>
      <c r="K82" s="13">
        <f>MAX(0,Параметры!$C$20-Параметры!$C$27*MAX(0,A82-Параметры!$C$11-1))*Параметры!$C$15/12</f>
        <v>63553.051001821477</v>
      </c>
      <c r="L82" s="13">
        <f t="shared" si="20"/>
        <v>1141365.7108676818</v>
      </c>
      <c r="M82" s="13">
        <f>T81*Параметры!$C$10/12</f>
        <v>380278.09390885936</v>
      </c>
      <c r="N82" s="13">
        <f t="shared" si="21"/>
        <v>761087.61695882236</v>
      </c>
      <c r="O82" s="13">
        <f>MAX(0,N82*Параметры!$C$14)</f>
        <v>152217.52339176447</v>
      </c>
      <c r="P82" s="13">
        <f t="shared" si="22"/>
        <v>608870.09356705786</v>
      </c>
      <c r="Q82" s="13">
        <v>0</v>
      </c>
      <c r="R82" s="13">
        <v>0</v>
      </c>
      <c r="S82" s="13">
        <f>MAX(0,MIN(Параметры!$C$26-M82,T81))</f>
        <v>405819.82925507362</v>
      </c>
      <c r="T82" s="13">
        <f t="shared" si="23"/>
        <v>22410865.805276487</v>
      </c>
      <c r="U82" s="13">
        <f t="shared" si="24"/>
        <v>-45527.552164172579</v>
      </c>
      <c r="V82" s="13">
        <f t="shared" si="17"/>
        <v>-15454284.411419747</v>
      </c>
    </row>
    <row r="83" spans="1:22" x14ac:dyDescent="0.25">
      <c r="A83" s="14">
        <v>82</v>
      </c>
      <c r="B83" s="14" t="s">
        <v>144</v>
      </c>
      <c r="C83" s="15" t="s">
        <v>69</v>
      </c>
      <c r="D83" s="9">
        <f>Параметры!$C$4*Параметры!$C$7*(1+Параметры!$C$8)^INT((A83-Параметры!$C$11-1)/12)</f>
        <v>1851961.8307617183</v>
      </c>
      <c r="E83" s="9">
        <f>D83/(1+Параметры!$C$13)</f>
        <v>1518001.5006243594</v>
      </c>
      <c r="F83" s="9">
        <f t="shared" si="18"/>
        <v>333960.33013735898</v>
      </c>
      <c r="G83" s="9">
        <f>IF(AND(A83&gt;Параметры!$C$11,A83&lt;=Параметры!$C$11+3),Параметры!$C$28,0)</f>
        <v>0</v>
      </c>
      <c r="H83" s="9">
        <f t="shared" si="19"/>
        <v>333960.33013735898</v>
      </c>
      <c r="I83" s="9">
        <f>E83*Параметры!$C$16</f>
        <v>227700.22509365389</v>
      </c>
      <c r="J83" s="9">
        <f>Параметры!$C$27</f>
        <v>85382.513661202189</v>
      </c>
      <c r="K83" s="9">
        <f>MAX(0,Параметры!$C$20-Параметры!$C$27*MAX(0,A83-Параметры!$C$11-1))*Параметры!$C$15/12</f>
        <v>63396.516393442616</v>
      </c>
      <c r="L83" s="9">
        <f t="shared" si="20"/>
        <v>1141522.2454760605</v>
      </c>
      <c r="M83" s="9">
        <f>T82*Параметры!$C$10/12</f>
        <v>373514.43008794147</v>
      </c>
      <c r="N83" s="9">
        <f t="shared" si="21"/>
        <v>768007.81538811908</v>
      </c>
      <c r="O83" s="9">
        <f>MAX(0,N83*Параметры!$C$14)</f>
        <v>153601.56307762381</v>
      </c>
      <c r="P83" s="9">
        <f t="shared" si="22"/>
        <v>614406.25231049524</v>
      </c>
      <c r="Q83" s="9">
        <v>0</v>
      </c>
      <c r="R83" s="9">
        <v>0</v>
      </c>
      <c r="S83" s="9">
        <f>MAX(0,MIN(Параметры!$C$26-M83,T82))</f>
        <v>412583.49307599152</v>
      </c>
      <c r="T83" s="9">
        <f t="shared" si="23"/>
        <v>21998282.312200494</v>
      </c>
      <c r="U83" s="9">
        <f t="shared" si="24"/>
        <v>-46755.057241653092</v>
      </c>
      <c r="V83" s="9">
        <f t="shared" si="17"/>
        <v>-15501039.468661401</v>
      </c>
    </row>
    <row r="84" spans="1:22" x14ac:dyDescent="0.25">
      <c r="A84" s="11">
        <v>83</v>
      </c>
      <c r="B84" s="11" t="s">
        <v>145</v>
      </c>
      <c r="C84" s="12" t="s">
        <v>69</v>
      </c>
      <c r="D84" s="13">
        <f>Параметры!$C$4*Параметры!$C$7*(1+Параметры!$C$8)^INT((A84-Параметры!$C$11-1)/12)</f>
        <v>1851961.8307617183</v>
      </c>
      <c r="E84" s="13">
        <f>D84/(1+Параметры!$C$13)</f>
        <v>1518001.5006243594</v>
      </c>
      <c r="F84" s="13">
        <f t="shared" si="18"/>
        <v>333960.33013735898</v>
      </c>
      <c r="G84" s="13">
        <f>IF(AND(A84&gt;Параметры!$C$11,A84&lt;=Параметры!$C$11+3),Параметры!$C$28,0)</f>
        <v>0</v>
      </c>
      <c r="H84" s="13">
        <f t="shared" si="19"/>
        <v>333960.33013735898</v>
      </c>
      <c r="I84" s="13">
        <f>E84*Параметры!$C$16</f>
        <v>227700.22509365389</v>
      </c>
      <c r="J84" s="13">
        <f>Параметры!$C$27</f>
        <v>85382.513661202189</v>
      </c>
      <c r="K84" s="13">
        <f>MAX(0,Параметры!$C$20-Параметры!$C$27*MAX(0,A84-Параметры!$C$11-1))*Параметры!$C$15/12</f>
        <v>63239.981785063748</v>
      </c>
      <c r="L84" s="13">
        <f t="shared" si="20"/>
        <v>1141678.7800844396</v>
      </c>
      <c r="M84" s="13">
        <f>T83*Параметры!$C$10/12</f>
        <v>366638.03853667487</v>
      </c>
      <c r="N84" s="13">
        <f t="shared" si="21"/>
        <v>775040.74154776474</v>
      </c>
      <c r="O84" s="13">
        <f>MAX(0,N84*Параметры!$C$14)</f>
        <v>155008.14830955295</v>
      </c>
      <c r="P84" s="13">
        <f t="shared" si="22"/>
        <v>620032.59323821182</v>
      </c>
      <c r="Q84" s="13">
        <v>0</v>
      </c>
      <c r="R84" s="13">
        <v>0</v>
      </c>
      <c r="S84" s="13">
        <f>MAX(0,MIN(Параметры!$C$26-M84,T83))</f>
        <v>419459.88462725811</v>
      </c>
      <c r="T84" s="13">
        <f t="shared" si="23"/>
        <v>21578822.427573238</v>
      </c>
      <c r="U84" s="13">
        <f t="shared" si="24"/>
        <v>-48005.107865203114</v>
      </c>
      <c r="V84" s="13">
        <f t="shared" si="17"/>
        <v>-15549044.576526605</v>
      </c>
    </row>
    <row r="85" spans="1:22" x14ac:dyDescent="0.25">
      <c r="A85" s="14">
        <v>84</v>
      </c>
      <c r="B85" s="14" t="s">
        <v>146</v>
      </c>
      <c r="C85" s="15" t="s">
        <v>69</v>
      </c>
      <c r="D85" s="9">
        <f>Параметры!$C$4*Параметры!$C$7*(1+Параметры!$C$8)^INT((A85-Параметры!$C$11-1)/12)</f>
        <v>1851961.8307617183</v>
      </c>
      <c r="E85" s="9">
        <f>D85/(1+Параметры!$C$13)</f>
        <v>1518001.5006243594</v>
      </c>
      <c r="F85" s="9">
        <f t="shared" si="18"/>
        <v>333960.33013735898</v>
      </c>
      <c r="G85" s="9">
        <f>IF(AND(A85&gt;Параметры!$C$11,A85&lt;=Параметры!$C$11+3),Параметры!$C$28,0)</f>
        <v>0</v>
      </c>
      <c r="H85" s="9">
        <f t="shared" si="19"/>
        <v>333960.33013735898</v>
      </c>
      <c r="I85" s="9">
        <f>E85*Параметры!$C$16</f>
        <v>227700.22509365389</v>
      </c>
      <c r="J85" s="9">
        <f>Параметры!$C$27</f>
        <v>85382.513661202189</v>
      </c>
      <c r="K85" s="9">
        <f>MAX(0,Параметры!$C$20-Параметры!$C$27*MAX(0,A85-Параметры!$C$11-1))*Параметры!$C$15/12</f>
        <v>63083.44717668488</v>
      </c>
      <c r="L85" s="9">
        <f t="shared" si="20"/>
        <v>1141835.3146928183</v>
      </c>
      <c r="M85" s="9">
        <f>T84*Параметры!$C$10/12</f>
        <v>359647.04045955394</v>
      </c>
      <c r="N85" s="9">
        <f t="shared" si="21"/>
        <v>782188.27423326438</v>
      </c>
      <c r="O85" s="9">
        <f>MAX(0,N85*Параметры!$C$14)</f>
        <v>156437.65484665288</v>
      </c>
      <c r="P85" s="9">
        <f t="shared" si="22"/>
        <v>625750.61938661151</v>
      </c>
      <c r="Q85" s="9">
        <v>0</v>
      </c>
      <c r="R85" s="9">
        <v>0</v>
      </c>
      <c r="S85" s="9">
        <f>MAX(0,MIN(Параметры!$C$26-M85,T84))</f>
        <v>426450.88270437904</v>
      </c>
      <c r="T85" s="9">
        <f t="shared" si="23"/>
        <v>21152371.544868857</v>
      </c>
      <c r="U85" s="9">
        <f t="shared" si="24"/>
        <v>-49278.079793924349</v>
      </c>
      <c r="V85" s="9">
        <f t="shared" si="17"/>
        <v>-15598322.656320529</v>
      </c>
    </row>
    <row r="86" spans="1:22" x14ac:dyDescent="0.25">
      <c r="A86" s="11">
        <v>85</v>
      </c>
      <c r="B86" s="11" t="s">
        <v>147</v>
      </c>
      <c r="C86" s="12" t="s">
        <v>69</v>
      </c>
      <c r="D86" s="13">
        <f>Параметры!$C$4*Параметры!$C$7*(1+Параметры!$C$8)^INT((A86-Параметры!$C$11-1)/12)</f>
        <v>1851961.8307617183</v>
      </c>
      <c r="E86" s="13">
        <f>D86/(1+Параметры!$C$13)</f>
        <v>1518001.5006243594</v>
      </c>
      <c r="F86" s="13">
        <f t="shared" si="18"/>
        <v>333960.33013735898</v>
      </c>
      <c r="G86" s="13">
        <f>IF(AND(A86&gt;Параметры!$C$11,A86&lt;=Параметры!$C$11+3),Параметры!$C$28,0)</f>
        <v>0</v>
      </c>
      <c r="H86" s="13">
        <f t="shared" si="19"/>
        <v>333960.33013735898</v>
      </c>
      <c r="I86" s="13">
        <f>E86*Параметры!$C$16</f>
        <v>227700.22509365389</v>
      </c>
      <c r="J86" s="13">
        <f>Параметры!$C$27</f>
        <v>85382.513661202189</v>
      </c>
      <c r="K86" s="13">
        <f>MAX(0,Параметры!$C$20-Параметры!$C$27*MAX(0,A86-Параметры!$C$11-1))*Параметры!$C$15/12</f>
        <v>62926.912568305997</v>
      </c>
      <c r="L86" s="13">
        <f t="shared" si="20"/>
        <v>1141991.8493011971</v>
      </c>
      <c r="M86" s="13">
        <f>T85*Параметры!$C$10/12</f>
        <v>352539.52574781427</v>
      </c>
      <c r="N86" s="13">
        <f t="shared" si="21"/>
        <v>789452.32355338288</v>
      </c>
      <c r="O86" s="13">
        <f>MAX(0,N86*Параметры!$C$14)</f>
        <v>157890.46471067658</v>
      </c>
      <c r="P86" s="13">
        <f t="shared" si="22"/>
        <v>631561.85884270631</v>
      </c>
      <c r="Q86" s="13">
        <v>0</v>
      </c>
      <c r="R86" s="13">
        <v>0</v>
      </c>
      <c r="S86" s="13">
        <f>MAX(0,MIN(Параметры!$C$26-M86,T85))</f>
        <v>433558.39741611871</v>
      </c>
      <c r="T86" s="13">
        <f t="shared" si="23"/>
        <v>20718813.147452738</v>
      </c>
      <c r="U86" s="13">
        <f t="shared" si="24"/>
        <v>-50574.355049569218</v>
      </c>
      <c r="V86" s="13">
        <f t="shared" si="17"/>
        <v>-15648897.011370098</v>
      </c>
    </row>
    <row r="87" spans="1:22" x14ac:dyDescent="0.25">
      <c r="A87" s="14">
        <v>86</v>
      </c>
      <c r="B87" s="14" t="s">
        <v>148</v>
      </c>
      <c r="C87" s="15" t="s">
        <v>69</v>
      </c>
      <c r="D87" s="9">
        <f>Параметры!$C$4*Параметры!$C$7*(1+Параметры!$C$8)^INT((A87-Параметры!$C$11-1)/12)</f>
        <v>1851961.8307617183</v>
      </c>
      <c r="E87" s="9">
        <f>D87/(1+Параметры!$C$13)</f>
        <v>1518001.5006243594</v>
      </c>
      <c r="F87" s="9">
        <f t="shared" si="18"/>
        <v>333960.33013735898</v>
      </c>
      <c r="G87" s="9">
        <f>IF(AND(A87&gt;Параметры!$C$11,A87&lt;=Параметры!$C$11+3),Параметры!$C$28,0)</f>
        <v>0</v>
      </c>
      <c r="H87" s="9">
        <f t="shared" si="19"/>
        <v>333960.33013735898</v>
      </c>
      <c r="I87" s="9">
        <f>E87*Параметры!$C$16</f>
        <v>227700.22509365389</v>
      </c>
      <c r="J87" s="9">
        <f>Параметры!$C$27</f>
        <v>85382.513661202189</v>
      </c>
      <c r="K87" s="9">
        <f>MAX(0,Параметры!$C$20-Параметры!$C$27*MAX(0,A87-Параметры!$C$11-1))*Параметры!$C$15/12</f>
        <v>62770.377959927137</v>
      </c>
      <c r="L87" s="9">
        <f t="shared" si="20"/>
        <v>1142148.3839095761</v>
      </c>
      <c r="M87" s="9">
        <f>T86*Параметры!$C$10/12</f>
        <v>345313.55245754565</v>
      </c>
      <c r="N87" s="9">
        <f t="shared" si="21"/>
        <v>796834.83145203046</v>
      </c>
      <c r="O87" s="9">
        <f>MAX(0,N87*Параметры!$C$14)</f>
        <v>159366.9662904061</v>
      </c>
      <c r="P87" s="9">
        <f t="shared" si="22"/>
        <v>637467.86516162439</v>
      </c>
      <c r="Q87" s="9">
        <v>0</v>
      </c>
      <c r="R87" s="9">
        <v>0</v>
      </c>
      <c r="S87" s="9">
        <f>MAX(0,MIN(Параметры!$C$26-M87,T86))</f>
        <v>440784.37070638733</v>
      </c>
      <c r="T87" s="9">
        <f t="shared" si="23"/>
        <v>20278028.776746351</v>
      </c>
      <c r="U87" s="9">
        <f t="shared" si="24"/>
        <v>-51894.322020919761</v>
      </c>
      <c r="V87" s="9">
        <f t="shared" si="17"/>
        <v>-15700791.333391018</v>
      </c>
    </row>
    <row r="88" spans="1:22" x14ac:dyDescent="0.25">
      <c r="A88" s="11">
        <v>87</v>
      </c>
      <c r="B88" s="11" t="s">
        <v>149</v>
      </c>
      <c r="C88" s="12" t="s">
        <v>69</v>
      </c>
      <c r="D88" s="13">
        <f>Параметры!$C$4*Параметры!$C$7*(1+Параметры!$C$8)^INT((A88-Параметры!$C$11-1)/12)</f>
        <v>1851961.8307617183</v>
      </c>
      <c r="E88" s="13">
        <f>D88/(1+Параметры!$C$13)</f>
        <v>1518001.5006243594</v>
      </c>
      <c r="F88" s="13">
        <f t="shared" si="18"/>
        <v>333960.33013735898</v>
      </c>
      <c r="G88" s="13">
        <f>IF(AND(A88&gt;Параметры!$C$11,A88&lt;=Параметры!$C$11+3),Параметры!$C$28,0)</f>
        <v>0</v>
      </c>
      <c r="H88" s="13">
        <f t="shared" si="19"/>
        <v>333960.33013735898</v>
      </c>
      <c r="I88" s="13">
        <f>E88*Параметры!$C$16</f>
        <v>227700.22509365389</v>
      </c>
      <c r="J88" s="13">
        <f>Параметры!$C$27</f>
        <v>85382.513661202189</v>
      </c>
      <c r="K88" s="13">
        <f>MAX(0,Параметры!$C$20-Параметры!$C$27*MAX(0,A88-Параметры!$C$11-1))*Параметры!$C$15/12</f>
        <v>62613.843351548268</v>
      </c>
      <c r="L88" s="13">
        <f t="shared" si="20"/>
        <v>1142304.9185179549</v>
      </c>
      <c r="M88" s="13">
        <f>T87*Параметры!$C$10/12</f>
        <v>337967.14627910586</v>
      </c>
      <c r="N88" s="13">
        <f t="shared" si="21"/>
        <v>804337.77223884896</v>
      </c>
      <c r="O88" s="13">
        <f>MAX(0,N88*Параметры!$C$14)</f>
        <v>160867.5544477698</v>
      </c>
      <c r="P88" s="13">
        <f t="shared" si="22"/>
        <v>643470.21779107919</v>
      </c>
      <c r="Q88" s="13">
        <v>0</v>
      </c>
      <c r="R88" s="13">
        <v>0</v>
      </c>
      <c r="S88" s="13">
        <f>MAX(0,MIN(Параметры!$C$26-M88,T87))</f>
        <v>448130.77688482712</v>
      </c>
      <c r="T88" s="13">
        <f t="shared" si="23"/>
        <v>19829897.999861524</v>
      </c>
      <c r="U88" s="13">
        <f t="shared" si="24"/>
        <v>-53238.375569904747</v>
      </c>
      <c r="V88" s="13">
        <f t="shared" si="17"/>
        <v>-15754029.708960922</v>
      </c>
    </row>
    <row r="89" spans="1:22" x14ac:dyDescent="0.25">
      <c r="A89" s="14">
        <v>88</v>
      </c>
      <c r="B89" s="14" t="s">
        <v>150</v>
      </c>
      <c r="C89" s="15" t="s">
        <v>69</v>
      </c>
      <c r="D89" s="9">
        <f>Параметры!$C$4*Параметры!$C$7*(1+Параметры!$C$8)^INT((A89-Параметры!$C$11-1)/12)</f>
        <v>1851961.8307617183</v>
      </c>
      <c r="E89" s="9">
        <f>D89/(1+Параметры!$C$13)</f>
        <v>1518001.5006243594</v>
      </c>
      <c r="F89" s="9">
        <f t="shared" si="18"/>
        <v>333960.33013735898</v>
      </c>
      <c r="G89" s="9">
        <f>IF(AND(A89&gt;Параметры!$C$11,A89&lt;=Параметры!$C$11+3),Параметры!$C$28,0)</f>
        <v>0</v>
      </c>
      <c r="H89" s="9">
        <f t="shared" si="19"/>
        <v>333960.33013735898</v>
      </c>
      <c r="I89" s="9">
        <f>E89*Параметры!$C$16</f>
        <v>227700.22509365389</v>
      </c>
      <c r="J89" s="9">
        <f>Параметры!$C$27</f>
        <v>85382.513661202189</v>
      </c>
      <c r="K89" s="9">
        <f>MAX(0,Параметры!$C$20-Параметры!$C$27*MAX(0,A89-Параметры!$C$11-1))*Параметры!$C$15/12</f>
        <v>62457.308743169393</v>
      </c>
      <c r="L89" s="9">
        <f t="shared" si="20"/>
        <v>1142461.4531263339</v>
      </c>
      <c r="M89" s="9">
        <f>T88*Параметры!$C$10/12</f>
        <v>330498.29999769205</v>
      </c>
      <c r="N89" s="9">
        <f t="shared" si="21"/>
        <v>811963.15312864189</v>
      </c>
      <c r="O89" s="9">
        <f>MAX(0,N89*Параметры!$C$14)</f>
        <v>162392.6306257284</v>
      </c>
      <c r="P89" s="9">
        <f t="shared" si="22"/>
        <v>649570.52250291349</v>
      </c>
      <c r="Q89" s="9">
        <v>0</v>
      </c>
      <c r="R89" s="9">
        <v>0</v>
      </c>
      <c r="S89" s="9">
        <f>MAX(0,MIN(Параметры!$C$26-M89,T88))</f>
        <v>455599.62316624093</v>
      </c>
      <c r="T89" s="9">
        <f t="shared" si="23"/>
        <v>19374298.376695283</v>
      </c>
      <c r="U89" s="9">
        <f t="shared" si="24"/>
        <v>-54606.917139484256</v>
      </c>
      <c r="V89" s="9">
        <f t="shared" si="17"/>
        <v>-15808636.626100406</v>
      </c>
    </row>
    <row r="90" spans="1:22" x14ac:dyDescent="0.25">
      <c r="A90" s="11">
        <v>89</v>
      </c>
      <c r="B90" s="11" t="s">
        <v>151</v>
      </c>
      <c r="C90" s="12" t="s">
        <v>69</v>
      </c>
      <c r="D90" s="13">
        <f>Параметры!$C$4*Параметры!$C$7*(1+Параметры!$C$8)^INT((A90-Параметры!$C$11-1)/12)</f>
        <v>1851961.8307617183</v>
      </c>
      <c r="E90" s="13">
        <f>D90/(1+Параметры!$C$13)</f>
        <v>1518001.5006243594</v>
      </c>
      <c r="F90" s="13">
        <f t="shared" si="18"/>
        <v>333960.33013735898</v>
      </c>
      <c r="G90" s="13">
        <f>IF(AND(A90&gt;Параметры!$C$11,A90&lt;=Параметры!$C$11+3),Параметры!$C$28,0)</f>
        <v>0</v>
      </c>
      <c r="H90" s="13">
        <f t="shared" si="19"/>
        <v>333960.33013735898</v>
      </c>
      <c r="I90" s="13">
        <f>E90*Параметры!$C$16</f>
        <v>227700.22509365389</v>
      </c>
      <c r="J90" s="13">
        <f>Параметры!$C$27</f>
        <v>85382.513661202189</v>
      </c>
      <c r="K90" s="13">
        <f>MAX(0,Параметры!$C$20-Параметры!$C$27*MAX(0,A90-Параметры!$C$11-1))*Параметры!$C$15/12</f>
        <v>62300.774134790518</v>
      </c>
      <c r="L90" s="13">
        <f t="shared" si="20"/>
        <v>1142617.9877347127</v>
      </c>
      <c r="M90" s="13">
        <f>T89*Параметры!$C$10/12</f>
        <v>322904.97294492141</v>
      </c>
      <c r="N90" s="13">
        <f t="shared" si="21"/>
        <v>819713.01478979131</v>
      </c>
      <c r="O90" s="13">
        <f>MAX(0,N90*Параметры!$C$14)</f>
        <v>163942.60295795827</v>
      </c>
      <c r="P90" s="13">
        <f t="shared" si="22"/>
        <v>655770.41183183307</v>
      </c>
      <c r="Q90" s="13">
        <v>0</v>
      </c>
      <c r="R90" s="13">
        <v>0</v>
      </c>
      <c r="S90" s="13">
        <f>MAX(0,MIN(Параметры!$C$26-M90,T89))</f>
        <v>463192.95021901157</v>
      </c>
      <c r="T90" s="13">
        <f t="shared" si="23"/>
        <v>18911105.42647627</v>
      </c>
      <c r="U90" s="13">
        <f t="shared" si="24"/>
        <v>-56000.35486333532</v>
      </c>
      <c r="V90" s="13">
        <f t="shared" si="17"/>
        <v>-15864636.98096374</v>
      </c>
    </row>
    <row r="91" spans="1:22" x14ac:dyDescent="0.25">
      <c r="A91" s="14">
        <v>90</v>
      </c>
      <c r="B91" s="14" t="s">
        <v>152</v>
      </c>
      <c r="C91" s="15" t="s">
        <v>69</v>
      </c>
      <c r="D91" s="9">
        <f>Параметры!$C$4*Параметры!$C$7*(1+Параметры!$C$8)^INT((A91-Параметры!$C$11-1)/12)</f>
        <v>1851961.8307617183</v>
      </c>
      <c r="E91" s="9">
        <f>D91/(1+Параметры!$C$13)</f>
        <v>1518001.5006243594</v>
      </c>
      <c r="F91" s="9">
        <f t="shared" si="18"/>
        <v>333960.33013735898</v>
      </c>
      <c r="G91" s="9">
        <f>IF(AND(A91&gt;Параметры!$C$11,A91&lt;=Параметры!$C$11+3),Параметры!$C$28,0)</f>
        <v>0</v>
      </c>
      <c r="H91" s="9">
        <f t="shared" si="19"/>
        <v>333960.33013735898</v>
      </c>
      <c r="I91" s="9">
        <f>E91*Параметры!$C$16</f>
        <v>227700.22509365389</v>
      </c>
      <c r="J91" s="9">
        <f>Параметры!$C$27</f>
        <v>85382.513661202189</v>
      </c>
      <c r="K91" s="9">
        <f>MAX(0,Параметры!$C$20-Параметры!$C$27*MAX(0,A91-Параметры!$C$11-1))*Параметры!$C$15/12</f>
        <v>62144.239526411657</v>
      </c>
      <c r="L91" s="9">
        <f t="shared" si="20"/>
        <v>1142774.5223430914</v>
      </c>
      <c r="M91" s="9">
        <f>T90*Параметры!$C$10/12</f>
        <v>315185.0904412712</v>
      </c>
      <c r="N91" s="9">
        <f t="shared" si="21"/>
        <v>827589.43190182024</v>
      </c>
      <c r="O91" s="9">
        <f>MAX(0,N91*Параметры!$C$14)</f>
        <v>165517.88638036407</v>
      </c>
      <c r="P91" s="9">
        <f t="shared" si="22"/>
        <v>662071.54552145617</v>
      </c>
      <c r="Q91" s="9">
        <v>0</v>
      </c>
      <c r="R91" s="9">
        <v>0</v>
      </c>
      <c r="S91" s="9">
        <f>MAX(0,MIN(Параметры!$C$26-M91,T90))</f>
        <v>470912.83272266178</v>
      </c>
      <c r="T91" s="9">
        <f t="shared" si="23"/>
        <v>18440192.59375361</v>
      </c>
      <c r="U91" s="9">
        <f t="shared" si="24"/>
        <v>-57419.103677362436</v>
      </c>
      <c r="V91" s="9">
        <f t="shared" si="17"/>
        <v>-15922056.084641103</v>
      </c>
    </row>
    <row r="92" spans="1:22" x14ac:dyDescent="0.25">
      <c r="A92" s="11">
        <v>91</v>
      </c>
      <c r="B92" s="11" t="s">
        <v>153</v>
      </c>
      <c r="C92" s="12" t="s">
        <v>69</v>
      </c>
      <c r="D92" s="13">
        <f>Параметры!$C$4*Параметры!$C$7*(1+Параметры!$C$8)^INT((A92-Параметры!$C$11-1)/12)</f>
        <v>1990858.9680688474</v>
      </c>
      <c r="E92" s="13">
        <f>D92/(1+Параметры!$C$13)</f>
        <v>1631851.6131711865</v>
      </c>
      <c r="F92" s="13">
        <f t="shared" si="18"/>
        <v>359007.3548976609</v>
      </c>
      <c r="G92" s="13">
        <f>IF(AND(A92&gt;Параметры!$C$11,A92&lt;=Параметры!$C$11+3),Параметры!$C$28,0)</f>
        <v>0</v>
      </c>
      <c r="H92" s="13">
        <f t="shared" si="19"/>
        <v>359007.3548976609</v>
      </c>
      <c r="I92" s="13">
        <f>E92*Параметры!$C$16</f>
        <v>244777.74197567796</v>
      </c>
      <c r="J92" s="13">
        <f>Параметры!$C$27</f>
        <v>85382.513661202189</v>
      </c>
      <c r="K92" s="13">
        <f>MAX(0,Параметры!$C$20-Параметры!$C$27*MAX(0,A92-Параметры!$C$11-1))*Параметры!$C$15/12</f>
        <v>61987.704918032774</v>
      </c>
      <c r="L92" s="13">
        <f t="shared" si="20"/>
        <v>1239703.6526162736</v>
      </c>
      <c r="M92" s="13">
        <f>T91*Параметры!$C$10/12</f>
        <v>307336.54322922684</v>
      </c>
      <c r="N92" s="13">
        <f t="shared" si="21"/>
        <v>932367.10938704677</v>
      </c>
      <c r="O92" s="13">
        <f>MAX(0,N92*Параметры!$C$14)</f>
        <v>186473.42187740936</v>
      </c>
      <c r="P92" s="13">
        <f t="shared" si="22"/>
        <v>745893.68750963744</v>
      </c>
      <c r="Q92" s="13">
        <v>0</v>
      </c>
      <c r="R92" s="13">
        <v>0</v>
      </c>
      <c r="S92" s="13">
        <f>MAX(0,MIN(Параметры!$C$26-M92,T91))</f>
        <v>478761.37993470614</v>
      </c>
      <c r="T92" s="13">
        <f t="shared" si="23"/>
        <v>17961431.213818904</v>
      </c>
      <c r="U92" s="13">
        <f t="shared" si="24"/>
        <v>-6492.5336615274427</v>
      </c>
      <c r="V92" s="13">
        <f t="shared" si="17"/>
        <v>-15928548.61830263</v>
      </c>
    </row>
    <row r="93" spans="1:22" x14ac:dyDescent="0.25">
      <c r="A93" s="14">
        <v>92</v>
      </c>
      <c r="B93" s="14" t="s">
        <v>154</v>
      </c>
      <c r="C93" s="15" t="s">
        <v>69</v>
      </c>
      <c r="D93" s="9">
        <f>Параметры!$C$4*Параметры!$C$7*(1+Параметры!$C$8)^INT((A93-Параметры!$C$11-1)/12)</f>
        <v>1990858.9680688474</v>
      </c>
      <c r="E93" s="9">
        <f>D93/(1+Параметры!$C$13)</f>
        <v>1631851.6131711865</v>
      </c>
      <c r="F93" s="9">
        <f t="shared" si="18"/>
        <v>359007.3548976609</v>
      </c>
      <c r="G93" s="9">
        <f>IF(AND(A93&gt;Параметры!$C$11,A93&lt;=Параметры!$C$11+3),Параметры!$C$28,0)</f>
        <v>0</v>
      </c>
      <c r="H93" s="9">
        <f t="shared" si="19"/>
        <v>359007.3548976609</v>
      </c>
      <c r="I93" s="9">
        <f>E93*Параметры!$C$16</f>
        <v>244777.74197567796</v>
      </c>
      <c r="J93" s="9">
        <f>Параметры!$C$27</f>
        <v>85382.513661202189</v>
      </c>
      <c r="K93" s="9">
        <f>MAX(0,Параметры!$C$20-Параметры!$C$27*MAX(0,A93-Параметры!$C$11-1))*Параметры!$C$15/12</f>
        <v>61831.170309653913</v>
      </c>
      <c r="L93" s="9">
        <f t="shared" si="20"/>
        <v>1239860.1872246524</v>
      </c>
      <c r="M93" s="9">
        <f>T92*Параметры!$C$10/12</f>
        <v>299357.18689698173</v>
      </c>
      <c r="N93" s="9">
        <f t="shared" si="21"/>
        <v>940503.00032767071</v>
      </c>
      <c r="O93" s="9">
        <f>MAX(0,N93*Параметры!$C$14)</f>
        <v>188100.60006553415</v>
      </c>
      <c r="P93" s="9">
        <f t="shared" si="22"/>
        <v>752402.40026213659</v>
      </c>
      <c r="Q93" s="9">
        <v>0</v>
      </c>
      <c r="R93" s="9">
        <v>0</v>
      </c>
      <c r="S93" s="9">
        <f>MAX(0,MIN(Параметры!$C$26-M93,T92))</f>
        <v>486740.73626695125</v>
      </c>
      <c r="T93" s="9">
        <f t="shared" si="23"/>
        <v>17474690.477551952</v>
      </c>
      <c r="U93" s="9">
        <f t="shared" si="24"/>
        <v>-7963.177241273399</v>
      </c>
      <c r="V93" s="9">
        <f t="shared" si="17"/>
        <v>-15936511.795543903</v>
      </c>
    </row>
    <row r="94" spans="1:22" x14ac:dyDescent="0.25">
      <c r="A94" s="11">
        <v>93</v>
      </c>
      <c r="B94" s="11" t="s">
        <v>155</v>
      </c>
      <c r="C94" s="12" t="s">
        <v>69</v>
      </c>
      <c r="D94" s="13">
        <f>Параметры!$C$4*Параметры!$C$7*(1+Параметры!$C$8)^INT((A94-Параметры!$C$11-1)/12)</f>
        <v>1990858.9680688474</v>
      </c>
      <c r="E94" s="13">
        <f>D94/(1+Параметры!$C$13)</f>
        <v>1631851.6131711865</v>
      </c>
      <c r="F94" s="13">
        <f t="shared" si="18"/>
        <v>359007.3548976609</v>
      </c>
      <c r="G94" s="13">
        <f>IF(AND(A94&gt;Параметры!$C$11,A94&lt;=Параметры!$C$11+3),Параметры!$C$28,0)</f>
        <v>0</v>
      </c>
      <c r="H94" s="13">
        <f t="shared" si="19"/>
        <v>359007.3548976609</v>
      </c>
      <c r="I94" s="13">
        <f>E94*Параметры!$C$16</f>
        <v>244777.74197567796</v>
      </c>
      <c r="J94" s="13">
        <f>Параметры!$C$27</f>
        <v>85382.513661202189</v>
      </c>
      <c r="K94" s="13">
        <f>MAX(0,Параметры!$C$20-Параметры!$C$27*MAX(0,A94-Параметры!$C$11-1))*Параметры!$C$15/12</f>
        <v>61674.63570127503</v>
      </c>
      <c r="L94" s="13">
        <f t="shared" si="20"/>
        <v>1240016.7218330314</v>
      </c>
      <c r="M94" s="13">
        <f>T93*Параметры!$C$10/12</f>
        <v>291244.84129253257</v>
      </c>
      <c r="N94" s="13">
        <f t="shared" si="21"/>
        <v>948771.88054049877</v>
      </c>
      <c r="O94" s="13">
        <f>MAX(0,N94*Параметры!$C$14)</f>
        <v>189754.37610809976</v>
      </c>
      <c r="P94" s="13">
        <f t="shared" si="22"/>
        <v>759017.50443239906</v>
      </c>
      <c r="Q94" s="13">
        <v>0</v>
      </c>
      <c r="R94" s="13">
        <v>0</v>
      </c>
      <c r="S94" s="13">
        <f>MAX(0,MIN(Параметры!$C$26-M94,T93))</f>
        <v>494853.08187140041</v>
      </c>
      <c r="T94" s="13">
        <f t="shared" si="23"/>
        <v>16979837.39568055</v>
      </c>
      <c r="U94" s="13">
        <f t="shared" si="24"/>
        <v>-9460.418675460096</v>
      </c>
      <c r="V94" s="13">
        <f t="shared" si="17"/>
        <v>-15945972.214219363</v>
      </c>
    </row>
    <row r="95" spans="1:22" x14ac:dyDescent="0.25">
      <c r="A95" s="14">
        <v>94</v>
      </c>
      <c r="B95" s="14" t="s">
        <v>156</v>
      </c>
      <c r="C95" s="15" t="s">
        <v>69</v>
      </c>
      <c r="D95" s="9">
        <f>Параметры!$C$4*Параметры!$C$7*(1+Параметры!$C$8)^INT((A95-Параметры!$C$11-1)/12)</f>
        <v>1990858.9680688474</v>
      </c>
      <c r="E95" s="9">
        <f>D95/(1+Параметры!$C$13)</f>
        <v>1631851.6131711865</v>
      </c>
      <c r="F95" s="9">
        <f t="shared" si="18"/>
        <v>359007.3548976609</v>
      </c>
      <c r="G95" s="9">
        <f>IF(AND(A95&gt;Параметры!$C$11,A95&lt;=Параметры!$C$11+3),Параметры!$C$28,0)</f>
        <v>0</v>
      </c>
      <c r="H95" s="9">
        <f t="shared" si="19"/>
        <v>359007.3548976609</v>
      </c>
      <c r="I95" s="9">
        <f>E95*Параметры!$C$16</f>
        <v>244777.74197567796</v>
      </c>
      <c r="J95" s="9">
        <f>Параметры!$C$27</f>
        <v>85382.513661202189</v>
      </c>
      <c r="K95" s="9">
        <f>MAX(0,Параметры!$C$20-Параметры!$C$27*MAX(0,A95-Параметры!$C$11-1))*Параметры!$C$15/12</f>
        <v>61518.10109289617</v>
      </c>
      <c r="L95" s="9">
        <f t="shared" si="20"/>
        <v>1240173.2564414102</v>
      </c>
      <c r="M95" s="9">
        <f>T94*Параметры!$C$10/12</f>
        <v>282997.28992800921</v>
      </c>
      <c r="N95" s="9">
        <f t="shared" si="21"/>
        <v>957175.9665134009</v>
      </c>
      <c r="O95" s="9">
        <f>MAX(0,N95*Параметры!$C$14)</f>
        <v>191435.19330268019</v>
      </c>
      <c r="P95" s="9">
        <f t="shared" si="22"/>
        <v>765740.77321072074</v>
      </c>
      <c r="Q95" s="9">
        <v>0</v>
      </c>
      <c r="R95" s="9">
        <v>0</v>
      </c>
      <c r="S95" s="9">
        <f>MAX(0,MIN(Параметры!$C$26-M95,T94))</f>
        <v>503100.63323592377</v>
      </c>
      <c r="T95" s="9">
        <f t="shared" si="23"/>
        <v>16476736.762444627</v>
      </c>
      <c r="U95" s="9">
        <f t="shared" si="24"/>
        <v>-10984.701261661772</v>
      </c>
      <c r="V95" s="9">
        <f t="shared" si="17"/>
        <v>-15956956.915481025</v>
      </c>
    </row>
    <row r="96" spans="1:22" x14ac:dyDescent="0.25">
      <c r="A96" s="11">
        <v>95</v>
      </c>
      <c r="B96" s="11" t="s">
        <v>157</v>
      </c>
      <c r="C96" s="12" t="s">
        <v>69</v>
      </c>
      <c r="D96" s="13">
        <f>Параметры!$C$4*Параметры!$C$7*(1+Параметры!$C$8)^INT((A96-Параметры!$C$11-1)/12)</f>
        <v>1990858.9680688474</v>
      </c>
      <c r="E96" s="13">
        <f>D96/(1+Параметры!$C$13)</f>
        <v>1631851.6131711865</v>
      </c>
      <c r="F96" s="13">
        <f t="shared" si="18"/>
        <v>359007.3548976609</v>
      </c>
      <c r="G96" s="13">
        <f>IF(AND(A96&gt;Параметры!$C$11,A96&lt;=Параметры!$C$11+3),Параметры!$C$28,0)</f>
        <v>0</v>
      </c>
      <c r="H96" s="13">
        <f t="shared" si="19"/>
        <v>359007.3548976609</v>
      </c>
      <c r="I96" s="13">
        <f>E96*Параметры!$C$16</f>
        <v>244777.74197567796</v>
      </c>
      <c r="J96" s="13">
        <f>Параметры!$C$27</f>
        <v>85382.513661202189</v>
      </c>
      <c r="K96" s="13">
        <f>MAX(0,Параметры!$C$20-Параметры!$C$27*MAX(0,A96-Параметры!$C$11-1))*Параметры!$C$15/12</f>
        <v>61361.566484517294</v>
      </c>
      <c r="L96" s="13">
        <f t="shared" si="20"/>
        <v>1240329.7910497892</v>
      </c>
      <c r="M96" s="13">
        <f>T95*Параметры!$C$10/12</f>
        <v>274612.27937407716</v>
      </c>
      <c r="N96" s="13">
        <f t="shared" si="21"/>
        <v>965717.51167571195</v>
      </c>
      <c r="O96" s="13">
        <f>MAX(0,N96*Параметры!$C$14)</f>
        <v>193143.5023351424</v>
      </c>
      <c r="P96" s="13">
        <f t="shared" si="22"/>
        <v>772574.00934056961</v>
      </c>
      <c r="Q96" s="13">
        <v>0</v>
      </c>
      <c r="R96" s="13">
        <v>0</v>
      </c>
      <c r="S96" s="13">
        <f>MAX(0,MIN(Параметры!$C$26-M96,T95))</f>
        <v>511485.64378985582</v>
      </c>
      <c r="T96" s="13">
        <f t="shared" si="23"/>
        <v>15965251.118654771</v>
      </c>
      <c r="U96" s="13">
        <f t="shared" si="24"/>
        <v>-12536.475685744954</v>
      </c>
      <c r="V96" s="13">
        <f t="shared" si="17"/>
        <v>-15969493.391166771</v>
      </c>
    </row>
    <row r="97" spans="1:22" x14ac:dyDescent="0.25">
      <c r="A97" s="14">
        <v>96</v>
      </c>
      <c r="B97" s="14" t="s">
        <v>158</v>
      </c>
      <c r="C97" s="15" t="s">
        <v>69</v>
      </c>
      <c r="D97" s="9">
        <f>Параметры!$C$4*Параметры!$C$7*(1+Параметры!$C$8)^INT((A97-Параметры!$C$11-1)/12)</f>
        <v>1990858.9680688474</v>
      </c>
      <c r="E97" s="9">
        <f>D97/(1+Параметры!$C$13)</f>
        <v>1631851.6131711865</v>
      </c>
      <c r="F97" s="9">
        <f t="shared" si="18"/>
        <v>359007.3548976609</v>
      </c>
      <c r="G97" s="9">
        <f>IF(AND(A97&gt;Параметры!$C$11,A97&lt;=Параметры!$C$11+3),Параметры!$C$28,0)</f>
        <v>0</v>
      </c>
      <c r="H97" s="9">
        <f t="shared" si="19"/>
        <v>359007.3548976609</v>
      </c>
      <c r="I97" s="9">
        <f>E97*Параметры!$C$16</f>
        <v>244777.74197567796</v>
      </c>
      <c r="J97" s="9">
        <f>Параметры!$C$27</f>
        <v>85382.513661202189</v>
      </c>
      <c r="K97" s="9">
        <f>MAX(0,Параметры!$C$20-Параметры!$C$27*MAX(0,A97-Параметры!$C$11-1))*Параметры!$C$15/12</f>
        <v>61205.031876138433</v>
      </c>
      <c r="L97" s="9">
        <f t="shared" si="20"/>
        <v>1240486.3256581679</v>
      </c>
      <c r="M97" s="9">
        <f>T96*Параметры!$C$10/12</f>
        <v>266087.51864424621</v>
      </c>
      <c r="N97" s="9">
        <f t="shared" si="21"/>
        <v>974398.80701392167</v>
      </c>
      <c r="O97" s="9">
        <f>MAX(0,N97*Параметры!$C$14)</f>
        <v>194879.76140278435</v>
      </c>
      <c r="P97" s="9">
        <f t="shared" si="22"/>
        <v>779519.04561113729</v>
      </c>
      <c r="Q97" s="9">
        <v>0</v>
      </c>
      <c r="R97" s="9">
        <v>0</v>
      </c>
      <c r="S97" s="9">
        <f>MAX(0,MIN(Параметры!$C$26-M97,T96))</f>
        <v>520010.40451968677</v>
      </c>
      <c r="T97" s="9">
        <f t="shared" si="23"/>
        <v>15445240.714135084</v>
      </c>
      <c r="U97" s="9">
        <f t="shared" si="24"/>
        <v>-14116.200145008217</v>
      </c>
      <c r="V97" s="9">
        <f t="shared" si="17"/>
        <v>-15983609.591311779</v>
      </c>
    </row>
    <row r="98" spans="1:22" x14ac:dyDescent="0.25">
      <c r="A98" s="11">
        <v>97</v>
      </c>
      <c r="B98" s="11" t="s">
        <v>159</v>
      </c>
      <c r="C98" s="12" t="s">
        <v>69</v>
      </c>
      <c r="D98" s="13">
        <f>Параметры!$C$4*Параметры!$C$7*(1+Параметры!$C$8)^INT((A98-Параметры!$C$11-1)/12)</f>
        <v>1990858.9680688474</v>
      </c>
      <c r="E98" s="13">
        <f>D98/(1+Параметры!$C$13)</f>
        <v>1631851.6131711865</v>
      </c>
      <c r="F98" s="13">
        <f t="shared" si="18"/>
        <v>359007.3548976609</v>
      </c>
      <c r="G98" s="13">
        <f>IF(AND(A98&gt;Параметры!$C$11,A98&lt;=Параметры!$C$11+3),Параметры!$C$28,0)</f>
        <v>0</v>
      </c>
      <c r="H98" s="13">
        <f t="shared" si="19"/>
        <v>359007.3548976609</v>
      </c>
      <c r="I98" s="13">
        <f>E98*Параметры!$C$16</f>
        <v>244777.74197567796</v>
      </c>
      <c r="J98" s="13">
        <f>Параметры!$C$27</f>
        <v>85382.513661202189</v>
      </c>
      <c r="K98" s="13">
        <f>MAX(0,Параметры!$C$20-Параметры!$C$27*MAX(0,A98-Параметры!$C$11-1))*Параметры!$C$15/12</f>
        <v>61048.497267759551</v>
      </c>
      <c r="L98" s="13">
        <f t="shared" si="20"/>
        <v>1240642.8602665467</v>
      </c>
      <c r="M98" s="13">
        <f>T97*Параметры!$C$10/12</f>
        <v>257420.67856891811</v>
      </c>
      <c r="N98" s="13">
        <f t="shared" si="21"/>
        <v>983222.18169762858</v>
      </c>
      <c r="O98" s="13">
        <f>MAX(0,N98*Параметры!$C$14)</f>
        <v>196644.43633952574</v>
      </c>
      <c r="P98" s="13">
        <f t="shared" si="22"/>
        <v>786577.74535810284</v>
      </c>
      <c r="Q98" s="13">
        <v>0</v>
      </c>
      <c r="R98" s="13">
        <v>0</v>
      </c>
      <c r="S98" s="13">
        <f>MAX(0,MIN(Параметры!$C$26-M98,T97))</f>
        <v>528677.24459501484</v>
      </c>
      <c r="T98" s="13">
        <f t="shared" si="23"/>
        <v>14916563.469540069</v>
      </c>
      <c r="U98" s="13">
        <f t="shared" si="24"/>
        <v>-15724.340473370743</v>
      </c>
      <c r="V98" s="13">
        <f t="shared" si="17"/>
        <v>-15999333.931785149</v>
      </c>
    </row>
    <row r="99" spans="1:22" x14ac:dyDescent="0.25">
      <c r="A99" s="14">
        <v>98</v>
      </c>
      <c r="B99" s="14" t="s">
        <v>160</v>
      </c>
      <c r="C99" s="15" t="s">
        <v>69</v>
      </c>
      <c r="D99" s="9">
        <f>Параметры!$C$4*Параметры!$C$7*(1+Параметры!$C$8)^INT((A99-Параметры!$C$11-1)/12)</f>
        <v>1990858.9680688474</v>
      </c>
      <c r="E99" s="9">
        <f>D99/(1+Параметры!$C$13)</f>
        <v>1631851.6131711865</v>
      </c>
      <c r="F99" s="9">
        <f t="shared" si="18"/>
        <v>359007.3548976609</v>
      </c>
      <c r="G99" s="9">
        <f>IF(AND(A99&gt;Параметры!$C$11,A99&lt;=Параметры!$C$11+3),Параметры!$C$28,0)</f>
        <v>0</v>
      </c>
      <c r="H99" s="9">
        <f t="shared" si="19"/>
        <v>359007.3548976609</v>
      </c>
      <c r="I99" s="9">
        <f>E99*Параметры!$C$16</f>
        <v>244777.74197567796</v>
      </c>
      <c r="J99" s="9">
        <f>Параметры!$C$27</f>
        <v>85382.513661202189</v>
      </c>
      <c r="K99" s="9">
        <f>MAX(0,Параметры!$C$20-Параметры!$C$27*MAX(0,A99-Параметры!$C$11-1))*Параметры!$C$15/12</f>
        <v>60891.96265938069</v>
      </c>
      <c r="L99" s="9">
        <f t="shared" si="20"/>
        <v>1240799.3948749257</v>
      </c>
      <c r="M99" s="9">
        <f>T98*Параметры!$C$10/12</f>
        <v>248609.39115900116</v>
      </c>
      <c r="N99" s="9">
        <f t="shared" si="21"/>
        <v>992190.00371592457</v>
      </c>
      <c r="O99" s="9">
        <f>MAX(0,N99*Параметры!$C$14)</f>
        <v>198438.00074318494</v>
      </c>
      <c r="P99" s="9">
        <f t="shared" si="22"/>
        <v>793752.00297273963</v>
      </c>
      <c r="Q99" s="9">
        <v>0</v>
      </c>
      <c r="R99" s="9">
        <v>0</v>
      </c>
      <c r="S99" s="9">
        <f>MAX(0,MIN(Параметры!$C$26-M99,T98))</f>
        <v>537488.53200493183</v>
      </c>
      <c r="T99" s="9">
        <f t="shared" si="23"/>
        <v>14379074.937535137</v>
      </c>
      <c r="U99" s="9">
        <f t="shared" si="24"/>
        <v>-17361.370268650935</v>
      </c>
      <c r="V99" s="9">
        <f t="shared" ref="V99:V130" si="25">V98+U99</f>
        <v>-16016695.3020538</v>
      </c>
    </row>
    <row r="100" spans="1:22" x14ac:dyDescent="0.25">
      <c r="A100" s="11">
        <v>99</v>
      </c>
      <c r="B100" s="11" t="s">
        <v>161</v>
      </c>
      <c r="C100" s="12" t="s">
        <v>69</v>
      </c>
      <c r="D100" s="13">
        <f>Параметры!$C$4*Параметры!$C$7*(1+Параметры!$C$8)^INT((A100-Параметры!$C$11-1)/12)</f>
        <v>1990858.9680688474</v>
      </c>
      <c r="E100" s="13">
        <f>D100/(1+Параметры!$C$13)</f>
        <v>1631851.6131711865</v>
      </c>
      <c r="F100" s="13">
        <f t="shared" si="18"/>
        <v>359007.3548976609</v>
      </c>
      <c r="G100" s="13">
        <f>IF(AND(A100&gt;Параметры!$C$11,A100&lt;=Параметры!$C$11+3),Параметры!$C$28,0)</f>
        <v>0</v>
      </c>
      <c r="H100" s="13">
        <f t="shared" si="19"/>
        <v>359007.3548976609</v>
      </c>
      <c r="I100" s="13">
        <f>E100*Параметры!$C$16</f>
        <v>244777.74197567796</v>
      </c>
      <c r="J100" s="13">
        <f>Параметры!$C$27</f>
        <v>85382.513661202189</v>
      </c>
      <c r="K100" s="13">
        <f>MAX(0,Параметры!$C$20-Параметры!$C$27*MAX(0,A100-Параметры!$C$11-1))*Параметры!$C$15/12</f>
        <v>60735.428051001807</v>
      </c>
      <c r="L100" s="13">
        <f t="shared" si="20"/>
        <v>1240955.9294833045</v>
      </c>
      <c r="M100" s="13">
        <f>T99*Параметры!$C$10/12</f>
        <v>239651.24895891896</v>
      </c>
      <c r="N100" s="13">
        <f t="shared" si="21"/>
        <v>1001304.6805243855</v>
      </c>
      <c r="O100" s="13">
        <f>MAX(0,N100*Параметры!$C$14)</f>
        <v>200260.93610487712</v>
      </c>
      <c r="P100" s="13">
        <f t="shared" si="22"/>
        <v>801043.74441950838</v>
      </c>
      <c r="Q100" s="13">
        <v>0</v>
      </c>
      <c r="R100" s="13">
        <v>0</v>
      </c>
      <c r="S100" s="13">
        <f>MAX(0,MIN(Параметры!$C$26-M100,T99))</f>
        <v>546446.67420501402</v>
      </c>
      <c r="T100" s="13">
        <f t="shared" si="23"/>
        <v>13832628.263330122</v>
      </c>
      <c r="U100" s="13">
        <f t="shared" si="24"/>
        <v>-19027.771021964378</v>
      </c>
      <c r="V100" s="13">
        <f t="shared" si="25"/>
        <v>-16035723.073075764</v>
      </c>
    </row>
    <row r="101" spans="1:22" x14ac:dyDescent="0.25">
      <c r="A101" s="14">
        <v>100</v>
      </c>
      <c r="B101" s="14" t="s">
        <v>162</v>
      </c>
      <c r="C101" s="15" t="s">
        <v>69</v>
      </c>
      <c r="D101" s="9">
        <f>Параметры!$C$4*Параметры!$C$7*(1+Параметры!$C$8)^INT((A101-Параметры!$C$11-1)/12)</f>
        <v>1990858.9680688474</v>
      </c>
      <c r="E101" s="9">
        <f>D101/(1+Параметры!$C$13)</f>
        <v>1631851.6131711865</v>
      </c>
      <c r="F101" s="9">
        <f t="shared" si="18"/>
        <v>359007.3548976609</v>
      </c>
      <c r="G101" s="9">
        <f>IF(AND(A101&gt;Параметры!$C$11,A101&lt;=Параметры!$C$11+3),Параметры!$C$28,0)</f>
        <v>0</v>
      </c>
      <c r="H101" s="9">
        <f t="shared" si="19"/>
        <v>359007.3548976609</v>
      </c>
      <c r="I101" s="9">
        <f>E101*Параметры!$C$16</f>
        <v>244777.74197567796</v>
      </c>
      <c r="J101" s="9">
        <f>Параметры!$C$27</f>
        <v>85382.513661202189</v>
      </c>
      <c r="K101" s="9">
        <f>MAX(0,Параметры!$C$20-Параметры!$C$27*MAX(0,A101-Параметры!$C$11-1))*Параметры!$C$15/12</f>
        <v>60578.893442622939</v>
      </c>
      <c r="L101" s="9">
        <f t="shared" si="20"/>
        <v>1241112.4640916835</v>
      </c>
      <c r="M101" s="9">
        <f>T100*Параметры!$C$10/12</f>
        <v>230543.80438883542</v>
      </c>
      <c r="N101" s="9">
        <f t="shared" si="21"/>
        <v>1010568.6597028481</v>
      </c>
      <c r="O101" s="9">
        <f>MAX(0,N101*Параметры!$C$14)</f>
        <v>202113.73194056962</v>
      </c>
      <c r="P101" s="9">
        <f t="shared" si="22"/>
        <v>808454.92776227847</v>
      </c>
      <c r="Q101" s="9">
        <v>0</v>
      </c>
      <c r="R101" s="9">
        <v>0</v>
      </c>
      <c r="S101" s="9">
        <f>MAX(0,MIN(Параметры!$C$26-M101,T100))</f>
        <v>555554.11877509754</v>
      </c>
      <c r="T101" s="9">
        <f t="shared" si="23"/>
        <v>13277074.144555025</v>
      </c>
      <c r="U101" s="9">
        <f t="shared" si="24"/>
        <v>-20724.032249277807</v>
      </c>
      <c r="V101" s="9">
        <f t="shared" si="25"/>
        <v>-16056447.105325041</v>
      </c>
    </row>
    <row r="102" spans="1:22" x14ac:dyDescent="0.25">
      <c r="A102" s="11">
        <v>101</v>
      </c>
      <c r="B102" s="11" t="s">
        <v>163</v>
      </c>
      <c r="C102" s="12" t="s">
        <v>69</v>
      </c>
      <c r="D102" s="13">
        <f>Параметры!$C$4*Параметры!$C$7*(1+Параметры!$C$8)^INT((A102-Параметры!$C$11-1)/12)</f>
        <v>1990858.9680688474</v>
      </c>
      <c r="E102" s="13">
        <f>D102/(1+Параметры!$C$13)</f>
        <v>1631851.6131711865</v>
      </c>
      <c r="F102" s="13">
        <f t="shared" si="18"/>
        <v>359007.3548976609</v>
      </c>
      <c r="G102" s="13">
        <f>IF(AND(A102&gt;Параметры!$C$11,A102&lt;=Параметры!$C$11+3),Параметры!$C$28,0)</f>
        <v>0</v>
      </c>
      <c r="H102" s="13">
        <f t="shared" si="19"/>
        <v>359007.3548976609</v>
      </c>
      <c r="I102" s="13">
        <f>E102*Параметры!$C$16</f>
        <v>244777.74197567796</v>
      </c>
      <c r="J102" s="13">
        <f>Параметры!$C$27</f>
        <v>85382.513661202189</v>
      </c>
      <c r="K102" s="13">
        <f>MAX(0,Параметры!$C$20-Параметры!$C$27*MAX(0,A102-Параметры!$C$11-1))*Параметры!$C$15/12</f>
        <v>60422.358834244071</v>
      </c>
      <c r="L102" s="13">
        <f t="shared" si="20"/>
        <v>1241268.9987000623</v>
      </c>
      <c r="M102" s="13">
        <f>T101*Параметры!$C$10/12</f>
        <v>221284.5690759171</v>
      </c>
      <c r="N102" s="13">
        <f t="shared" si="21"/>
        <v>1019984.4296241452</v>
      </c>
      <c r="O102" s="13">
        <f>MAX(0,N102*Параметры!$C$14)</f>
        <v>203996.88592482905</v>
      </c>
      <c r="P102" s="13">
        <f t="shared" si="22"/>
        <v>815987.5436993161</v>
      </c>
      <c r="Q102" s="13">
        <v>0</v>
      </c>
      <c r="R102" s="13">
        <v>0</v>
      </c>
      <c r="S102" s="13">
        <f>MAX(0,MIN(Параметры!$C$26-M102,T101))</f>
        <v>564813.35408801585</v>
      </c>
      <c r="T102" s="13">
        <f t="shared" si="23"/>
        <v>12712260.790467009</v>
      </c>
      <c r="U102" s="13">
        <f t="shared" si="24"/>
        <v>-22450.651625158498</v>
      </c>
      <c r="V102" s="13">
        <f t="shared" si="25"/>
        <v>-16078897.7569502</v>
      </c>
    </row>
    <row r="103" spans="1:22" x14ac:dyDescent="0.25">
      <c r="A103" s="14">
        <v>102</v>
      </c>
      <c r="B103" s="14" t="s">
        <v>164</v>
      </c>
      <c r="C103" s="15" t="s">
        <v>69</v>
      </c>
      <c r="D103" s="9">
        <f>Параметры!$C$4*Параметры!$C$7*(1+Параметры!$C$8)^INT((A103-Параметры!$C$11-1)/12)</f>
        <v>1990858.9680688474</v>
      </c>
      <c r="E103" s="9">
        <f>D103/(1+Параметры!$C$13)</f>
        <v>1631851.6131711865</v>
      </c>
      <c r="F103" s="9">
        <f t="shared" si="18"/>
        <v>359007.3548976609</v>
      </c>
      <c r="G103" s="9">
        <f>IF(AND(A103&gt;Параметры!$C$11,A103&lt;=Параметры!$C$11+3),Параметры!$C$28,0)</f>
        <v>0</v>
      </c>
      <c r="H103" s="9">
        <f t="shared" si="19"/>
        <v>359007.3548976609</v>
      </c>
      <c r="I103" s="9">
        <f>E103*Параметры!$C$16</f>
        <v>244777.74197567796</v>
      </c>
      <c r="J103" s="9">
        <f>Параметры!$C$27</f>
        <v>85382.513661202189</v>
      </c>
      <c r="K103" s="9">
        <f>MAX(0,Параметры!$C$20-Параметры!$C$27*MAX(0,A103-Параметры!$C$11-1))*Параметры!$C$15/12</f>
        <v>60265.824225865195</v>
      </c>
      <c r="L103" s="9">
        <f t="shared" si="20"/>
        <v>1241425.5333084411</v>
      </c>
      <c r="M103" s="9">
        <f>T102*Параметры!$C$10/12</f>
        <v>211871.01317445017</v>
      </c>
      <c r="N103" s="9">
        <f t="shared" si="21"/>
        <v>1029554.5201339909</v>
      </c>
      <c r="O103" s="9">
        <f>MAX(0,N103*Параметры!$C$14)</f>
        <v>205910.90402679821</v>
      </c>
      <c r="P103" s="9">
        <f t="shared" si="22"/>
        <v>823643.61610719271</v>
      </c>
      <c r="Q103" s="9">
        <v>0</v>
      </c>
      <c r="R103" s="9">
        <v>0</v>
      </c>
      <c r="S103" s="9">
        <f>MAX(0,MIN(Параметры!$C$26-M103,T102))</f>
        <v>574226.90998948284</v>
      </c>
      <c r="T103" s="9">
        <f t="shared" si="23"/>
        <v>12138033.880477525</v>
      </c>
      <c r="U103" s="9">
        <f t="shared" si="24"/>
        <v>-24208.135118748876</v>
      </c>
      <c r="V103" s="9">
        <f t="shared" si="25"/>
        <v>-16103105.892068949</v>
      </c>
    </row>
    <row r="104" spans="1:22" x14ac:dyDescent="0.25">
      <c r="A104" s="11">
        <v>103</v>
      </c>
      <c r="B104" s="11" t="s">
        <v>165</v>
      </c>
      <c r="C104" s="12" t="s">
        <v>69</v>
      </c>
      <c r="D104" s="13">
        <f>Параметры!$C$4*Параметры!$C$7*(1+Параметры!$C$8)^INT((A104-Параметры!$C$11-1)/12)</f>
        <v>2140173.3906740109</v>
      </c>
      <c r="E104" s="13">
        <f>D104/(1+Параметры!$C$13)</f>
        <v>1754240.4841590254</v>
      </c>
      <c r="F104" s="13">
        <f t="shared" ref="F104:F135" si="26">D104-E104</f>
        <v>385932.90651498549</v>
      </c>
      <c r="G104" s="13">
        <f>IF(AND(A104&gt;Параметры!$C$11,A104&lt;=Параметры!$C$11+3),Параметры!$C$28,0)</f>
        <v>0</v>
      </c>
      <c r="H104" s="13">
        <f t="shared" ref="H104:H135" si="27">F104-G104</f>
        <v>385932.90651498549</v>
      </c>
      <c r="I104" s="13">
        <f>E104*Параметры!$C$16</f>
        <v>263136.0726238538</v>
      </c>
      <c r="J104" s="13">
        <f>Параметры!$C$27</f>
        <v>85382.513661202189</v>
      </c>
      <c r="K104" s="13">
        <f>MAX(0,Параметры!$C$20-Параметры!$C$27*MAX(0,A104-Параметры!$C$11-1))*Параметры!$C$15/12</f>
        <v>60109.289617486327</v>
      </c>
      <c r="L104" s="13">
        <f t="shared" ref="L104:L135" si="28">E104-I104-J104-K104</f>
        <v>1345612.608256483</v>
      </c>
      <c r="M104" s="13">
        <f>T103*Параметры!$C$10/12</f>
        <v>202300.56467462544</v>
      </c>
      <c r="N104" s="13">
        <f t="shared" ref="N104:N135" si="29">L104-M104</f>
        <v>1143312.0435818576</v>
      </c>
      <c r="O104" s="13">
        <f>MAX(0,N104*Параметры!$C$14)</f>
        <v>228662.40871637152</v>
      </c>
      <c r="P104" s="13">
        <f t="shared" ref="P104:P135" si="30">N104-O104</f>
        <v>914649.63486548606</v>
      </c>
      <c r="Q104" s="13">
        <v>0</v>
      </c>
      <c r="R104" s="13">
        <v>0</v>
      </c>
      <c r="S104" s="13">
        <f>MAX(0,MIN(Параметры!$C$26-M104,T103))</f>
        <v>583797.35848930757</v>
      </c>
      <c r="T104" s="13">
        <f t="shared" ref="T104:T135" si="31">MAX(0,T103-S104)</f>
        <v>11554236.521988217</v>
      </c>
      <c r="U104" s="13">
        <f t="shared" ref="U104:U121" si="32">P104+J104-S104-H104</f>
        <v>30301.883522395161</v>
      </c>
      <c r="V104" s="13">
        <f t="shared" si="25"/>
        <v>-16072804.008546554</v>
      </c>
    </row>
    <row r="105" spans="1:22" x14ac:dyDescent="0.25">
      <c r="A105" s="14">
        <v>104</v>
      </c>
      <c r="B105" s="14" t="s">
        <v>166</v>
      </c>
      <c r="C105" s="15" t="s">
        <v>69</v>
      </c>
      <c r="D105" s="9">
        <f>Параметры!$C$4*Параметры!$C$7*(1+Параметры!$C$8)^INT((A105-Параметры!$C$11-1)/12)</f>
        <v>2140173.3906740109</v>
      </c>
      <c r="E105" s="9">
        <f>D105/(1+Параметры!$C$13)</f>
        <v>1754240.4841590254</v>
      </c>
      <c r="F105" s="9">
        <f t="shared" si="26"/>
        <v>385932.90651498549</v>
      </c>
      <c r="G105" s="9">
        <f>IF(AND(A105&gt;Параметры!$C$11,A105&lt;=Параметры!$C$11+3),Параметры!$C$28,0)</f>
        <v>0</v>
      </c>
      <c r="H105" s="9">
        <f t="shared" si="27"/>
        <v>385932.90651498549</v>
      </c>
      <c r="I105" s="9">
        <f>E105*Параметры!$C$16</f>
        <v>263136.0726238538</v>
      </c>
      <c r="J105" s="9">
        <f>Параметры!$C$27</f>
        <v>85382.513661202189</v>
      </c>
      <c r="K105" s="9">
        <f>MAX(0,Параметры!$C$20-Параметры!$C$27*MAX(0,A105-Параметры!$C$11-1))*Параметры!$C$15/12</f>
        <v>59952.755009107459</v>
      </c>
      <c r="L105" s="9">
        <f t="shared" si="28"/>
        <v>1345769.1428648618</v>
      </c>
      <c r="M105" s="9">
        <f>T104*Параметры!$C$10/12</f>
        <v>192570.60869980362</v>
      </c>
      <c r="N105" s="9">
        <f t="shared" si="29"/>
        <v>1153198.5341650581</v>
      </c>
      <c r="O105" s="9">
        <f>MAX(0,N105*Параметры!$C$14)</f>
        <v>230639.70683301162</v>
      </c>
      <c r="P105" s="9">
        <f t="shared" si="30"/>
        <v>922558.82733204647</v>
      </c>
      <c r="Q105" s="9">
        <v>0</v>
      </c>
      <c r="R105" s="9">
        <v>0</v>
      </c>
      <c r="S105" s="9">
        <f>MAX(0,MIN(Параметры!$C$26-M105,T104))</f>
        <v>593527.31446412939</v>
      </c>
      <c r="T105" s="9">
        <f t="shared" si="31"/>
        <v>10960709.207524087</v>
      </c>
      <c r="U105" s="9">
        <f t="shared" si="32"/>
        <v>28481.120014133747</v>
      </c>
      <c r="V105" s="9">
        <f t="shared" si="25"/>
        <v>-16044322.888532421</v>
      </c>
    </row>
    <row r="106" spans="1:22" x14ac:dyDescent="0.25">
      <c r="A106" s="11">
        <v>105</v>
      </c>
      <c r="B106" s="11" t="s">
        <v>167</v>
      </c>
      <c r="C106" s="12" t="s">
        <v>69</v>
      </c>
      <c r="D106" s="13">
        <f>Параметры!$C$4*Параметры!$C$7*(1+Параметры!$C$8)^INT((A106-Параметры!$C$11-1)/12)</f>
        <v>2140173.3906740109</v>
      </c>
      <c r="E106" s="13">
        <f>D106/(1+Параметры!$C$13)</f>
        <v>1754240.4841590254</v>
      </c>
      <c r="F106" s="13">
        <f t="shared" si="26"/>
        <v>385932.90651498549</v>
      </c>
      <c r="G106" s="13">
        <f>IF(AND(A106&gt;Параметры!$C$11,A106&lt;=Параметры!$C$11+3),Параметры!$C$28,0)</f>
        <v>0</v>
      </c>
      <c r="H106" s="13">
        <f t="shared" si="27"/>
        <v>385932.90651498549</v>
      </c>
      <c r="I106" s="13">
        <f>E106*Параметры!$C$16</f>
        <v>263136.0726238538</v>
      </c>
      <c r="J106" s="13">
        <f>Параметры!$C$27</f>
        <v>85382.513661202189</v>
      </c>
      <c r="K106" s="13">
        <f>MAX(0,Параметры!$C$20-Параметры!$C$27*MAX(0,A106-Параметры!$C$11-1))*Параметры!$C$15/12</f>
        <v>59796.220400728584</v>
      </c>
      <c r="L106" s="13">
        <f t="shared" si="28"/>
        <v>1345925.6774732408</v>
      </c>
      <c r="M106" s="13">
        <f>T105*Параметры!$C$10/12</f>
        <v>182678.48679206811</v>
      </c>
      <c r="N106" s="13">
        <f t="shared" si="29"/>
        <v>1163247.1906811725</v>
      </c>
      <c r="O106" s="13">
        <f>MAX(0,N106*Параметры!$C$14)</f>
        <v>232649.43813623453</v>
      </c>
      <c r="P106" s="13">
        <f t="shared" si="30"/>
        <v>930597.752544938</v>
      </c>
      <c r="Q106" s="13">
        <v>0</v>
      </c>
      <c r="R106" s="13">
        <v>0</v>
      </c>
      <c r="S106" s="13">
        <f>MAX(0,MIN(Параметры!$C$26-M106,T105))</f>
        <v>603419.43637186487</v>
      </c>
      <c r="T106" s="13">
        <f t="shared" si="31"/>
        <v>10357289.771152223</v>
      </c>
      <c r="U106" s="13">
        <f t="shared" si="32"/>
        <v>26627.92331928981</v>
      </c>
      <c r="V106" s="13">
        <f t="shared" si="25"/>
        <v>-16017694.965213131</v>
      </c>
    </row>
    <row r="107" spans="1:22" x14ac:dyDescent="0.25">
      <c r="A107" s="14">
        <v>106</v>
      </c>
      <c r="B107" s="14" t="s">
        <v>168</v>
      </c>
      <c r="C107" s="15" t="s">
        <v>69</v>
      </c>
      <c r="D107" s="9">
        <f>Параметры!$C$4*Параметры!$C$7*(1+Параметры!$C$8)^INT((A107-Параметры!$C$11-1)/12)</f>
        <v>2140173.3906740109</v>
      </c>
      <c r="E107" s="9">
        <f>D107/(1+Параметры!$C$13)</f>
        <v>1754240.4841590254</v>
      </c>
      <c r="F107" s="9">
        <f t="shared" si="26"/>
        <v>385932.90651498549</v>
      </c>
      <c r="G107" s="9">
        <f>IF(AND(A107&gt;Параметры!$C$11,A107&lt;=Параметры!$C$11+3),Параметры!$C$28,0)</f>
        <v>0</v>
      </c>
      <c r="H107" s="9">
        <f t="shared" si="27"/>
        <v>385932.90651498549</v>
      </c>
      <c r="I107" s="9">
        <f>E107*Параметры!$C$16</f>
        <v>263136.0726238538</v>
      </c>
      <c r="J107" s="9">
        <f>Параметры!$C$27</f>
        <v>85382.513661202189</v>
      </c>
      <c r="K107" s="9">
        <f>MAX(0,Параметры!$C$20-Параметры!$C$27*MAX(0,A107-Параметры!$C$11-1))*Параметры!$C$15/12</f>
        <v>59639.685792349715</v>
      </c>
      <c r="L107" s="9">
        <f t="shared" si="28"/>
        <v>1346082.2120816195</v>
      </c>
      <c r="M107" s="9">
        <f>T106*Параметры!$C$10/12</f>
        <v>172621.49618587038</v>
      </c>
      <c r="N107" s="9">
        <f t="shared" si="29"/>
        <v>1173460.7158957492</v>
      </c>
      <c r="O107" s="9">
        <f>MAX(0,N107*Параметры!$C$14)</f>
        <v>234692.14317914983</v>
      </c>
      <c r="P107" s="9">
        <f t="shared" si="30"/>
        <v>938768.57271659933</v>
      </c>
      <c r="Q107" s="9">
        <v>0</v>
      </c>
      <c r="R107" s="9">
        <v>0</v>
      </c>
      <c r="S107" s="9">
        <f>MAX(0,MIN(Параметры!$C$26-M107,T106))</f>
        <v>613476.42697806261</v>
      </c>
      <c r="T107" s="9">
        <f t="shared" si="31"/>
        <v>9743813.3441741597</v>
      </c>
      <c r="U107" s="9">
        <f t="shared" si="32"/>
        <v>24741.752884753398</v>
      </c>
      <c r="V107" s="9">
        <f t="shared" si="25"/>
        <v>-15992953.212328378</v>
      </c>
    </row>
    <row r="108" spans="1:22" x14ac:dyDescent="0.25">
      <c r="A108" s="11">
        <v>107</v>
      </c>
      <c r="B108" s="11" t="s">
        <v>169</v>
      </c>
      <c r="C108" s="12" t="s">
        <v>69</v>
      </c>
      <c r="D108" s="13">
        <f>Параметры!$C$4*Параметры!$C$7*(1+Параметры!$C$8)^INT((A108-Параметры!$C$11-1)/12)</f>
        <v>2140173.3906740109</v>
      </c>
      <c r="E108" s="13">
        <f>D108/(1+Параметры!$C$13)</f>
        <v>1754240.4841590254</v>
      </c>
      <c r="F108" s="13">
        <f t="shared" si="26"/>
        <v>385932.90651498549</v>
      </c>
      <c r="G108" s="13">
        <f>IF(AND(A108&gt;Параметры!$C$11,A108&lt;=Параметры!$C$11+3),Параметры!$C$28,0)</f>
        <v>0</v>
      </c>
      <c r="H108" s="13">
        <f t="shared" si="27"/>
        <v>385932.90651498549</v>
      </c>
      <c r="I108" s="13">
        <f>E108*Параметры!$C$16</f>
        <v>263136.0726238538</v>
      </c>
      <c r="J108" s="13">
        <f>Параметры!$C$27</f>
        <v>85382.513661202189</v>
      </c>
      <c r="K108" s="13">
        <f>MAX(0,Параметры!$C$20-Параметры!$C$27*MAX(0,A108-Параметры!$C$11-1))*Параметры!$C$15/12</f>
        <v>59483.151183970847</v>
      </c>
      <c r="L108" s="13">
        <f t="shared" si="28"/>
        <v>1346238.7466899985</v>
      </c>
      <c r="M108" s="13">
        <f>T107*Параметры!$C$10/12</f>
        <v>162396.88906956933</v>
      </c>
      <c r="N108" s="13">
        <f t="shared" si="29"/>
        <v>1183841.8576204292</v>
      </c>
      <c r="O108" s="13">
        <f>MAX(0,N108*Параметры!$C$14)</f>
        <v>236768.37152408587</v>
      </c>
      <c r="P108" s="13">
        <f t="shared" si="30"/>
        <v>947073.48609634337</v>
      </c>
      <c r="Q108" s="13">
        <v>0</v>
      </c>
      <c r="R108" s="13">
        <v>0</v>
      </c>
      <c r="S108" s="13">
        <f>MAX(0,MIN(Параметры!$C$26-M108,T107))</f>
        <v>623701.03409436368</v>
      </c>
      <c r="T108" s="13">
        <f t="shared" si="31"/>
        <v>9120112.3100797962</v>
      </c>
      <c r="U108" s="13">
        <f t="shared" si="32"/>
        <v>22822.059148196364</v>
      </c>
      <c r="V108" s="13">
        <f t="shared" si="25"/>
        <v>-15970131.153180182</v>
      </c>
    </row>
    <row r="109" spans="1:22" x14ac:dyDescent="0.25">
      <c r="A109" s="14">
        <v>108</v>
      </c>
      <c r="B109" s="14" t="s">
        <v>170</v>
      </c>
      <c r="C109" s="15" t="s">
        <v>69</v>
      </c>
      <c r="D109" s="9">
        <f>Параметры!$C$4*Параметры!$C$7*(1+Параметры!$C$8)^INT((A109-Параметры!$C$11-1)/12)</f>
        <v>2140173.3906740109</v>
      </c>
      <c r="E109" s="9">
        <f>D109/(1+Параметры!$C$13)</f>
        <v>1754240.4841590254</v>
      </c>
      <c r="F109" s="9">
        <f t="shared" si="26"/>
        <v>385932.90651498549</v>
      </c>
      <c r="G109" s="9">
        <f>IF(AND(A109&gt;Параметры!$C$11,A109&lt;=Параметры!$C$11+3),Параметры!$C$28,0)</f>
        <v>0</v>
      </c>
      <c r="H109" s="9">
        <f t="shared" si="27"/>
        <v>385932.90651498549</v>
      </c>
      <c r="I109" s="9">
        <f>E109*Параметры!$C$16</f>
        <v>263136.0726238538</v>
      </c>
      <c r="J109" s="9">
        <f>Параметры!$C$27</f>
        <v>85382.513661202189</v>
      </c>
      <c r="K109" s="9">
        <f>MAX(0,Параметры!$C$20-Параметры!$C$27*MAX(0,A109-Параметры!$C$11-1))*Параметры!$C$15/12</f>
        <v>59326.616575591972</v>
      </c>
      <c r="L109" s="9">
        <f t="shared" si="28"/>
        <v>1346395.2812983773</v>
      </c>
      <c r="M109" s="9">
        <f>T108*Параметры!$C$10/12</f>
        <v>152001.8718346633</v>
      </c>
      <c r="N109" s="9">
        <f t="shared" si="29"/>
        <v>1194393.4094637141</v>
      </c>
      <c r="O109" s="9">
        <f>MAX(0,N109*Параметры!$C$14)</f>
        <v>238878.68189274284</v>
      </c>
      <c r="P109" s="9">
        <f t="shared" si="30"/>
        <v>955514.72757097124</v>
      </c>
      <c r="Q109" s="9">
        <v>0</v>
      </c>
      <c r="R109" s="9">
        <v>0</v>
      </c>
      <c r="S109" s="9">
        <f>MAX(0,MIN(Параметры!$C$26-M109,T108))</f>
        <v>634096.05132926966</v>
      </c>
      <c r="T109" s="9">
        <f t="shared" si="31"/>
        <v>8486016.2587505262</v>
      </c>
      <c r="U109" s="9">
        <f t="shared" si="32"/>
        <v>20868.283387918258</v>
      </c>
      <c r="V109" s="9">
        <f t="shared" si="25"/>
        <v>-15949262.869792264</v>
      </c>
    </row>
    <row r="110" spans="1:22" x14ac:dyDescent="0.25">
      <c r="A110" s="11">
        <v>109</v>
      </c>
      <c r="B110" s="11" t="s">
        <v>171</v>
      </c>
      <c r="C110" s="12" t="s">
        <v>69</v>
      </c>
      <c r="D110" s="13">
        <f>Параметры!$C$4*Параметры!$C$7*(1+Параметры!$C$8)^INT((A110-Параметры!$C$11-1)/12)</f>
        <v>2140173.3906740109</v>
      </c>
      <c r="E110" s="13">
        <f>D110/(1+Параметры!$C$13)</f>
        <v>1754240.4841590254</v>
      </c>
      <c r="F110" s="13">
        <f t="shared" si="26"/>
        <v>385932.90651498549</v>
      </c>
      <c r="G110" s="13">
        <f>IF(AND(A110&gt;Параметры!$C$11,A110&lt;=Параметры!$C$11+3),Параметры!$C$28,0)</f>
        <v>0</v>
      </c>
      <c r="H110" s="13">
        <f t="shared" si="27"/>
        <v>385932.90651498549</v>
      </c>
      <c r="I110" s="13">
        <f>E110*Параметры!$C$16</f>
        <v>263136.0726238538</v>
      </c>
      <c r="J110" s="13">
        <f>Параметры!$C$27</f>
        <v>85382.513661202189</v>
      </c>
      <c r="K110" s="13">
        <f>MAX(0,Параметры!$C$20-Параметры!$C$27*MAX(0,A110-Параметры!$C$11-1))*Параметры!$C$15/12</f>
        <v>59170.081967213104</v>
      </c>
      <c r="L110" s="13">
        <f t="shared" si="28"/>
        <v>1346551.8159067561</v>
      </c>
      <c r="M110" s="13">
        <f>T109*Параметры!$C$10/12</f>
        <v>141433.60431250877</v>
      </c>
      <c r="N110" s="13">
        <f t="shared" si="29"/>
        <v>1205118.2115942473</v>
      </c>
      <c r="O110" s="13">
        <f>MAX(0,N110*Параметры!$C$14)</f>
        <v>241023.64231884945</v>
      </c>
      <c r="P110" s="13">
        <f t="shared" si="30"/>
        <v>964094.56927539781</v>
      </c>
      <c r="Q110" s="13">
        <v>0</v>
      </c>
      <c r="R110" s="13">
        <v>0</v>
      </c>
      <c r="S110" s="13">
        <f>MAX(0,MIN(Параметры!$C$26-M110,T109))</f>
        <v>644664.31885142415</v>
      </c>
      <c r="T110" s="13">
        <f t="shared" si="31"/>
        <v>7841351.9398991019</v>
      </c>
      <c r="U110" s="13">
        <f t="shared" si="32"/>
        <v>18879.857570190448</v>
      </c>
      <c r="V110" s="13">
        <f t="shared" si="25"/>
        <v>-15930383.012222074</v>
      </c>
    </row>
    <row r="111" spans="1:22" x14ac:dyDescent="0.25">
      <c r="A111" s="14">
        <v>110</v>
      </c>
      <c r="B111" s="14" t="s">
        <v>172</v>
      </c>
      <c r="C111" s="15" t="s">
        <v>69</v>
      </c>
      <c r="D111" s="9">
        <f>Параметры!$C$4*Параметры!$C$7*(1+Параметры!$C$8)^INT((A111-Параметры!$C$11-1)/12)</f>
        <v>2140173.3906740109</v>
      </c>
      <c r="E111" s="9">
        <f>D111/(1+Параметры!$C$13)</f>
        <v>1754240.4841590254</v>
      </c>
      <c r="F111" s="9">
        <f t="shared" si="26"/>
        <v>385932.90651498549</v>
      </c>
      <c r="G111" s="9">
        <f>IF(AND(A111&gt;Параметры!$C$11,A111&lt;=Параметры!$C$11+3),Параметры!$C$28,0)</f>
        <v>0</v>
      </c>
      <c r="H111" s="9">
        <f t="shared" si="27"/>
        <v>385932.90651498549</v>
      </c>
      <c r="I111" s="9">
        <f>E111*Параметры!$C$16</f>
        <v>263136.0726238538</v>
      </c>
      <c r="J111" s="9">
        <f>Параметры!$C$27</f>
        <v>85382.513661202189</v>
      </c>
      <c r="K111" s="9">
        <f>MAX(0,Параметры!$C$20-Параметры!$C$27*MAX(0,A111-Параметры!$C$11-1))*Параметры!$C$15/12</f>
        <v>59013.547358834236</v>
      </c>
      <c r="L111" s="9">
        <f t="shared" si="28"/>
        <v>1346708.3505151351</v>
      </c>
      <c r="M111" s="9">
        <f>T110*Параметры!$C$10/12</f>
        <v>130689.19899831836</v>
      </c>
      <c r="N111" s="9">
        <f t="shared" si="29"/>
        <v>1216019.1515168168</v>
      </c>
      <c r="O111" s="9">
        <f>MAX(0,N111*Параметры!$C$14)</f>
        <v>243203.83030336339</v>
      </c>
      <c r="P111" s="9">
        <f t="shared" si="30"/>
        <v>972815.32121345343</v>
      </c>
      <c r="Q111" s="9">
        <v>0</v>
      </c>
      <c r="R111" s="9">
        <v>0</v>
      </c>
      <c r="S111" s="9">
        <f>MAX(0,MIN(Параметры!$C$26-M111,T110))</f>
        <v>655408.72416561458</v>
      </c>
      <c r="T111" s="9">
        <f t="shared" si="31"/>
        <v>7185943.2157334872</v>
      </c>
      <c r="U111" s="9">
        <f t="shared" si="32"/>
        <v>16856.204194055521</v>
      </c>
      <c r="V111" s="9">
        <f t="shared" si="25"/>
        <v>-15913526.808028018</v>
      </c>
    </row>
    <row r="112" spans="1:22" x14ac:dyDescent="0.25">
      <c r="A112" s="11">
        <v>111</v>
      </c>
      <c r="B112" s="11" t="s">
        <v>173</v>
      </c>
      <c r="C112" s="12" t="s">
        <v>69</v>
      </c>
      <c r="D112" s="13">
        <f>Параметры!$C$4*Параметры!$C$7*(1+Параметры!$C$8)^INT((A112-Параметры!$C$11-1)/12)</f>
        <v>2140173.3906740109</v>
      </c>
      <c r="E112" s="13">
        <f>D112/(1+Параметры!$C$13)</f>
        <v>1754240.4841590254</v>
      </c>
      <c r="F112" s="13">
        <f t="shared" si="26"/>
        <v>385932.90651498549</v>
      </c>
      <c r="G112" s="13">
        <f>IF(AND(A112&gt;Параметры!$C$11,A112&lt;=Параметры!$C$11+3),Параметры!$C$28,0)</f>
        <v>0</v>
      </c>
      <c r="H112" s="13">
        <f t="shared" si="27"/>
        <v>385932.90651498549</v>
      </c>
      <c r="I112" s="13">
        <f>E112*Параметры!$C$16</f>
        <v>263136.0726238538</v>
      </c>
      <c r="J112" s="13">
        <f>Параметры!$C$27</f>
        <v>85382.513661202189</v>
      </c>
      <c r="K112" s="13">
        <f>MAX(0,Параметры!$C$20-Параметры!$C$27*MAX(0,A112-Параметры!$C$11-1))*Параметры!$C$15/12</f>
        <v>58857.01275045536</v>
      </c>
      <c r="L112" s="13">
        <f t="shared" si="28"/>
        <v>1346864.8851235139</v>
      </c>
      <c r="M112" s="13">
        <f>T111*Параметры!$C$10/12</f>
        <v>119765.72026222479</v>
      </c>
      <c r="N112" s="13">
        <f t="shared" si="29"/>
        <v>1227099.1648612891</v>
      </c>
      <c r="O112" s="13">
        <f>MAX(0,N112*Параметры!$C$14)</f>
        <v>245419.83297225783</v>
      </c>
      <c r="P112" s="13">
        <f t="shared" si="30"/>
        <v>981679.33188903122</v>
      </c>
      <c r="Q112" s="13">
        <v>0</v>
      </c>
      <c r="R112" s="13">
        <v>0</v>
      </c>
      <c r="S112" s="13">
        <f>MAX(0,MIN(Параметры!$C$26-M112,T111))</f>
        <v>666332.20290170819</v>
      </c>
      <c r="T112" s="13">
        <f t="shared" si="31"/>
        <v>6519611.0128317792</v>
      </c>
      <c r="U112" s="13">
        <f t="shared" si="32"/>
        <v>14796.736133539816</v>
      </c>
      <c r="V112" s="13">
        <f t="shared" si="25"/>
        <v>-15898730.071894478</v>
      </c>
    </row>
    <row r="113" spans="1:22" x14ac:dyDescent="0.25">
      <c r="A113" s="14">
        <v>112</v>
      </c>
      <c r="B113" s="14" t="s">
        <v>174</v>
      </c>
      <c r="C113" s="15" t="s">
        <v>69</v>
      </c>
      <c r="D113" s="9">
        <f>Параметры!$C$4*Параметры!$C$7*(1+Параметры!$C$8)^INT((A113-Параметры!$C$11-1)/12)</f>
        <v>2140173.3906740109</v>
      </c>
      <c r="E113" s="9">
        <f>D113/(1+Параметры!$C$13)</f>
        <v>1754240.4841590254</v>
      </c>
      <c r="F113" s="9">
        <f t="shared" si="26"/>
        <v>385932.90651498549</v>
      </c>
      <c r="G113" s="9">
        <f>IF(AND(A113&gt;Параметры!$C$11,A113&lt;=Параметры!$C$11+3),Параметры!$C$28,0)</f>
        <v>0</v>
      </c>
      <c r="H113" s="9">
        <f t="shared" si="27"/>
        <v>385932.90651498549</v>
      </c>
      <c r="I113" s="9">
        <f>E113*Параметры!$C$16</f>
        <v>263136.0726238538</v>
      </c>
      <c r="J113" s="9">
        <f>Параметры!$C$27</f>
        <v>85382.513661202189</v>
      </c>
      <c r="K113" s="9">
        <f>MAX(0,Параметры!$C$20-Параметры!$C$27*MAX(0,A113-Параметры!$C$11-1))*Параметры!$C$15/12</f>
        <v>58700.478142076499</v>
      </c>
      <c r="L113" s="9">
        <f t="shared" si="28"/>
        <v>1347021.4197318929</v>
      </c>
      <c r="M113" s="9">
        <f>T112*Параметры!$C$10/12</f>
        <v>108660.18354719633</v>
      </c>
      <c r="N113" s="9">
        <f t="shared" si="29"/>
        <v>1238361.2361846967</v>
      </c>
      <c r="O113" s="9">
        <f>MAX(0,N113*Параметры!$C$14)</f>
        <v>247672.24723693935</v>
      </c>
      <c r="P113" s="9">
        <f t="shared" si="30"/>
        <v>990688.98894775729</v>
      </c>
      <c r="Q113" s="9">
        <v>0</v>
      </c>
      <c r="R113" s="9">
        <v>0</v>
      </c>
      <c r="S113" s="9">
        <f>MAX(0,MIN(Параметры!$C$26-M113,T112))</f>
        <v>677437.73961673665</v>
      </c>
      <c r="T113" s="9">
        <f t="shared" si="31"/>
        <v>5842173.2732150424</v>
      </c>
      <c r="U113" s="9">
        <f t="shared" si="32"/>
        <v>12700.856477237423</v>
      </c>
      <c r="V113" s="9">
        <f t="shared" si="25"/>
        <v>-15886029.21541724</v>
      </c>
    </row>
    <row r="114" spans="1:22" x14ac:dyDescent="0.25">
      <c r="A114" s="11">
        <v>113</v>
      </c>
      <c r="B114" s="11" t="s">
        <v>175</v>
      </c>
      <c r="C114" s="12" t="s">
        <v>69</v>
      </c>
      <c r="D114" s="13">
        <f>Параметры!$C$4*Параметры!$C$7*(1+Параметры!$C$8)^INT((A114-Параметры!$C$11-1)/12)</f>
        <v>2140173.3906740109</v>
      </c>
      <c r="E114" s="13">
        <f>D114/(1+Параметры!$C$13)</f>
        <v>1754240.4841590254</v>
      </c>
      <c r="F114" s="13">
        <f t="shared" si="26"/>
        <v>385932.90651498549</v>
      </c>
      <c r="G114" s="13">
        <f>IF(AND(A114&gt;Параметры!$C$11,A114&lt;=Параметры!$C$11+3),Параметры!$C$28,0)</f>
        <v>0</v>
      </c>
      <c r="H114" s="13">
        <f t="shared" si="27"/>
        <v>385932.90651498549</v>
      </c>
      <c r="I114" s="13">
        <f>E114*Параметры!$C$16</f>
        <v>263136.0726238538</v>
      </c>
      <c r="J114" s="13">
        <f>Параметры!$C$27</f>
        <v>85382.513661202189</v>
      </c>
      <c r="K114" s="13">
        <f>MAX(0,Параметры!$C$20-Параметры!$C$27*MAX(0,A114-Параметры!$C$11-1))*Параметры!$C$15/12</f>
        <v>58543.943533697631</v>
      </c>
      <c r="L114" s="13">
        <f t="shared" si="28"/>
        <v>1347177.9543402717</v>
      </c>
      <c r="M114" s="13">
        <f>T113*Параметры!$C$10/12</f>
        <v>97369.554553584036</v>
      </c>
      <c r="N114" s="13">
        <f t="shared" si="29"/>
        <v>1249808.3997866877</v>
      </c>
      <c r="O114" s="13">
        <f>MAX(0,N114*Параметры!$C$14)</f>
        <v>249961.67995733756</v>
      </c>
      <c r="P114" s="13">
        <f t="shared" si="30"/>
        <v>999846.71982935013</v>
      </c>
      <c r="Q114" s="13">
        <v>0</v>
      </c>
      <c r="R114" s="13">
        <v>0</v>
      </c>
      <c r="S114" s="13">
        <f>MAX(0,MIN(Параметры!$C$26-M114,T113))</f>
        <v>688728.3686103489</v>
      </c>
      <c r="T114" s="13">
        <f t="shared" si="31"/>
        <v>5153444.9046046939</v>
      </c>
      <c r="U114" s="13">
        <f t="shared" si="32"/>
        <v>10567.958365217899</v>
      </c>
      <c r="V114" s="13">
        <f t="shared" si="25"/>
        <v>-15875461.257052021</v>
      </c>
    </row>
    <row r="115" spans="1:22" x14ac:dyDescent="0.25">
      <c r="A115" s="14">
        <v>114</v>
      </c>
      <c r="B115" s="14" t="s">
        <v>176</v>
      </c>
      <c r="C115" s="15" t="s">
        <v>69</v>
      </c>
      <c r="D115" s="9">
        <f>Параметры!$C$4*Параметры!$C$7*(1+Параметры!$C$8)^INT((A115-Параметры!$C$11-1)/12)</f>
        <v>2140173.3906740109</v>
      </c>
      <c r="E115" s="9">
        <f>D115/(1+Параметры!$C$13)</f>
        <v>1754240.4841590254</v>
      </c>
      <c r="F115" s="9">
        <f t="shared" si="26"/>
        <v>385932.90651498549</v>
      </c>
      <c r="G115" s="9">
        <f>IF(AND(A115&gt;Параметры!$C$11,A115&lt;=Параметры!$C$11+3),Параметры!$C$28,0)</f>
        <v>0</v>
      </c>
      <c r="H115" s="9">
        <f t="shared" si="27"/>
        <v>385932.90651498549</v>
      </c>
      <c r="I115" s="9">
        <f>E115*Параметры!$C$16</f>
        <v>263136.0726238538</v>
      </c>
      <c r="J115" s="9">
        <f>Параметры!$C$27</f>
        <v>85382.513661202189</v>
      </c>
      <c r="K115" s="9">
        <f>MAX(0,Параметры!$C$20-Параметры!$C$27*MAX(0,A115-Параметры!$C$11-1))*Параметры!$C$15/12</f>
        <v>58387.408925318763</v>
      </c>
      <c r="L115" s="9">
        <f t="shared" si="28"/>
        <v>1347334.4889486504</v>
      </c>
      <c r="M115" s="9">
        <f>T114*Параметры!$C$10/12</f>
        <v>85890.748410078231</v>
      </c>
      <c r="N115" s="9">
        <f t="shared" si="29"/>
        <v>1261443.7405385722</v>
      </c>
      <c r="O115" s="9">
        <f>MAX(0,N115*Параметры!$C$14)</f>
        <v>252288.74810771446</v>
      </c>
      <c r="P115" s="9">
        <f t="shared" si="30"/>
        <v>1009154.9924308577</v>
      </c>
      <c r="Q115" s="9">
        <v>0</v>
      </c>
      <c r="R115" s="9">
        <v>0</v>
      </c>
      <c r="S115" s="9">
        <f>MAX(0,MIN(Параметры!$C$26-M115,T114))</f>
        <v>700207.17475385475</v>
      </c>
      <c r="T115" s="9">
        <f t="shared" si="31"/>
        <v>4453237.7298508389</v>
      </c>
      <c r="U115" s="9">
        <f t="shared" si="32"/>
        <v>8397.4248232196551</v>
      </c>
      <c r="V115" s="9">
        <f t="shared" si="25"/>
        <v>-15867063.832228802</v>
      </c>
    </row>
    <row r="116" spans="1:22" x14ac:dyDescent="0.25">
      <c r="A116" s="11">
        <v>115</v>
      </c>
      <c r="B116" s="11" t="s">
        <v>177</v>
      </c>
      <c r="C116" s="12" t="s">
        <v>69</v>
      </c>
      <c r="D116" s="13">
        <f>Параметры!$C$4*Параметры!$C$7*(1+Параметры!$C$8)^INT((A116-Параметры!$C$11-1)/12)</f>
        <v>2300686.3949745619</v>
      </c>
      <c r="E116" s="13">
        <f>D116/(1+Параметры!$C$13)</f>
        <v>1885808.5204709524</v>
      </c>
      <c r="F116" s="13">
        <f t="shared" si="26"/>
        <v>414877.87450360949</v>
      </c>
      <c r="G116" s="13">
        <f>IF(AND(A116&gt;Параметры!$C$11,A116&lt;=Параметры!$C$11+3),Параметры!$C$28,0)</f>
        <v>0</v>
      </c>
      <c r="H116" s="13">
        <f t="shared" si="27"/>
        <v>414877.87450360949</v>
      </c>
      <c r="I116" s="13">
        <f>E116*Параметры!$C$16</f>
        <v>282871.27807064285</v>
      </c>
      <c r="J116" s="13">
        <f>Параметры!$C$27</f>
        <v>85382.513661202189</v>
      </c>
      <c r="K116" s="13">
        <f>MAX(0,Параметры!$C$20-Параметры!$C$27*MAX(0,A116-Параметры!$C$11-1))*Параметры!$C$15/12</f>
        <v>58230.874316939888</v>
      </c>
      <c r="L116" s="13">
        <f t="shared" si="28"/>
        <v>1459323.8544221674</v>
      </c>
      <c r="M116" s="13">
        <f>T115*Параметры!$C$10/12</f>
        <v>74220.628830847316</v>
      </c>
      <c r="N116" s="13">
        <f t="shared" si="29"/>
        <v>1385103.2255913201</v>
      </c>
      <c r="O116" s="13">
        <f>MAX(0,N116*Параметры!$C$14)</f>
        <v>277020.64511826402</v>
      </c>
      <c r="P116" s="13">
        <f t="shared" si="30"/>
        <v>1108082.5804730561</v>
      </c>
      <c r="Q116" s="13">
        <v>0</v>
      </c>
      <c r="R116" s="13">
        <v>0</v>
      </c>
      <c r="S116" s="13">
        <f>MAX(0,MIN(Параметры!$C$26-M116,T115))</f>
        <v>711877.29433308565</v>
      </c>
      <c r="T116" s="13">
        <f t="shared" si="31"/>
        <v>3741360.4355177535</v>
      </c>
      <c r="U116" s="13">
        <f t="shared" si="32"/>
        <v>66709.925297563197</v>
      </c>
      <c r="V116" s="13">
        <f t="shared" si="25"/>
        <v>-15800353.906931238</v>
      </c>
    </row>
    <row r="117" spans="1:22" x14ac:dyDescent="0.25">
      <c r="A117" s="14">
        <v>116</v>
      </c>
      <c r="B117" s="14" t="s">
        <v>178</v>
      </c>
      <c r="C117" s="15" t="s">
        <v>69</v>
      </c>
      <c r="D117" s="9">
        <f>Параметры!$C$4*Параметры!$C$7*(1+Параметры!$C$8)^INT((A117-Параметры!$C$11-1)/12)</f>
        <v>2300686.3949745619</v>
      </c>
      <c r="E117" s="9">
        <f>D117/(1+Параметры!$C$13)</f>
        <v>1885808.5204709524</v>
      </c>
      <c r="F117" s="9">
        <f t="shared" si="26"/>
        <v>414877.87450360949</v>
      </c>
      <c r="G117" s="9">
        <f>IF(AND(A117&gt;Параметры!$C$11,A117&lt;=Параметры!$C$11+3),Параметры!$C$28,0)</f>
        <v>0</v>
      </c>
      <c r="H117" s="9">
        <f t="shared" si="27"/>
        <v>414877.87450360949</v>
      </c>
      <c r="I117" s="9">
        <f>E117*Параметры!$C$16</f>
        <v>282871.27807064285</v>
      </c>
      <c r="J117" s="9">
        <f>Параметры!$C$27</f>
        <v>85382.513661202189</v>
      </c>
      <c r="K117" s="9">
        <f>MAX(0,Параметры!$C$20-Параметры!$C$27*MAX(0,A117-Параметры!$C$11-1))*Параметры!$C$15/12</f>
        <v>58074.339708561012</v>
      </c>
      <c r="L117" s="9">
        <f t="shared" si="28"/>
        <v>1459480.3890305462</v>
      </c>
      <c r="M117" s="9">
        <f>T116*Параметры!$C$10/12</f>
        <v>62356.00725862923</v>
      </c>
      <c r="N117" s="9">
        <f t="shared" si="29"/>
        <v>1397124.381771917</v>
      </c>
      <c r="O117" s="9">
        <f>MAX(0,N117*Параметры!$C$14)</f>
        <v>279424.87635438342</v>
      </c>
      <c r="P117" s="9">
        <f t="shared" si="30"/>
        <v>1117699.5054175337</v>
      </c>
      <c r="Q117" s="9">
        <v>0</v>
      </c>
      <c r="R117" s="9">
        <v>0</v>
      </c>
      <c r="S117" s="9">
        <f>MAX(0,MIN(Параметры!$C$26-M117,T116))</f>
        <v>723741.91590530379</v>
      </c>
      <c r="T117" s="9">
        <f t="shared" si="31"/>
        <v>3017618.5196124497</v>
      </c>
      <c r="U117" s="9">
        <f t="shared" si="32"/>
        <v>64462.228669822682</v>
      </c>
      <c r="V117" s="9">
        <f t="shared" si="25"/>
        <v>-15735891.678261416</v>
      </c>
    </row>
    <row r="118" spans="1:22" x14ac:dyDescent="0.25">
      <c r="A118" s="11">
        <v>117</v>
      </c>
      <c r="B118" s="11" t="s">
        <v>179</v>
      </c>
      <c r="C118" s="12" t="s">
        <v>69</v>
      </c>
      <c r="D118" s="13">
        <f>Параметры!$C$4*Параметры!$C$7*(1+Параметры!$C$8)^INT((A118-Параметры!$C$11-1)/12)</f>
        <v>2300686.3949745619</v>
      </c>
      <c r="E118" s="13">
        <f>D118/(1+Параметры!$C$13)</f>
        <v>1885808.5204709524</v>
      </c>
      <c r="F118" s="13">
        <f t="shared" si="26"/>
        <v>414877.87450360949</v>
      </c>
      <c r="G118" s="13">
        <f>IF(AND(A118&gt;Параметры!$C$11,A118&lt;=Параметры!$C$11+3),Параметры!$C$28,0)</f>
        <v>0</v>
      </c>
      <c r="H118" s="13">
        <f t="shared" si="27"/>
        <v>414877.87450360949</v>
      </c>
      <c r="I118" s="13">
        <f>E118*Параметры!$C$16</f>
        <v>282871.27807064285</v>
      </c>
      <c r="J118" s="13">
        <f>Параметры!$C$27</f>
        <v>85382.513661202189</v>
      </c>
      <c r="K118" s="13">
        <f>MAX(0,Параметры!$C$20-Параметры!$C$27*MAX(0,A118-Параметры!$C$11-1))*Параметры!$C$15/12</f>
        <v>57917.805100182151</v>
      </c>
      <c r="L118" s="13">
        <f t="shared" si="28"/>
        <v>1459636.9236389252</v>
      </c>
      <c r="M118" s="13">
        <f>T117*Параметры!$C$10/12</f>
        <v>50293.641993540834</v>
      </c>
      <c r="N118" s="13">
        <f t="shared" si="29"/>
        <v>1409343.2816453844</v>
      </c>
      <c r="O118" s="13">
        <f>MAX(0,N118*Параметры!$C$14)</f>
        <v>281868.65632907691</v>
      </c>
      <c r="P118" s="13">
        <f t="shared" si="30"/>
        <v>1127474.6253163074</v>
      </c>
      <c r="Q118" s="13">
        <v>0</v>
      </c>
      <c r="R118" s="13">
        <v>0</v>
      </c>
      <c r="S118" s="13">
        <f>MAX(0,MIN(Параметры!$C$26-M118,T117))</f>
        <v>735804.28117039218</v>
      </c>
      <c r="T118" s="13">
        <f t="shared" si="31"/>
        <v>2281814.2384420577</v>
      </c>
      <c r="U118" s="13">
        <f t="shared" si="32"/>
        <v>62174.983303508023</v>
      </c>
      <c r="V118" s="13">
        <f t="shared" si="25"/>
        <v>-15673716.694957908</v>
      </c>
    </row>
    <row r="119" spans="1:22" x14ac:dyDescent="0.25">
      <c r="A119" s="14">
        <v>118</v>
      </c>
      <c r="B119" s="14" t="s">
        <v>180</v>
      </c>
      <c r="C119" s="15" t="s">
        <v>69</v>
      </c>
      <c r="D119" s="9">
        <f>Параметры!$C$4*Параметры!$C$7*(1+Параметры!$C$8)^INT((A119-Параметры!$C$11-1)/12)</f>
        <v>2300686.3949745619</v>
      </c>
      <c r="E119" s="9">
        <f>D119/(1+Параметры!$C$13)</f>
        <v>1885808.5204709524</v>
      </c>
      <c r="F119" s="9">
        <f t="shared" si="26"/>
        <v>414877.87450360949</v>
      </c>
      <c r="G119" s="9">
        <f>IF(AND(A119&gt;Параметры!$C$11,A119&lt;=Параметры!$C$11+3),Параметры!$C$28,0)</f>
        <v>0</v>
      </c>
      <c r="H119" s="9">
        <f t="shared" si="27"/>
        <v>414877.87450360949</v>
      </c>
      <c r="I119" s="9">
        <f>E119*Параметры!$C$16</f>
        <v>282871.27807064285</v>
      </c>
      <c r="J119" s="9">
        <f>Параметры!$C$27</f>
        <v>85382.513661202189</v>
      </c>
      <c r="K119" s="9">
        <f>MAX(0,Параметры!$C$20-Параметры!$C$27*MAX(0,A119-Параметры!$C$11-1))*Параметры!$C$15/12</f>
        <v>57761.270491803269</v>
      </c>
      <c r="L119" s="9">
        <f t="shared" si="28"/>
        <v>1459793.458247304</v>
      </c>
      <c r="M119" s="9">
        <f>T118*Параметры!$C$10/12</f>
        <v>38030.237307367635</v>
      </c>
      <c r="N119" s="9">
        <f t="shared" si="29"/>
        <v>1421763.2209399363</v>
      </c>
      <c r="O119" s="9">
        <f>MAX(0,N119*Параметры!$C$14)</f>
        <v>284352.64418798726</v>
      </c>
      <c r="P119" s="9">
        <f t="shared" si="30"/>
        <v>1137410.576751949</v>
      </c>
      <c r="Q119" s="9">
        <v>0</v>
      </c>
      <c r="R119" s="9">
        <v>0</v>
      </c>
      <c r="S119" s="9">
        <f>MAX(0,MIN(Параметры!$C$26-M119,T118))</f>
        <v>748067.68585656537</v>
      </c>
      <c r="T119" s="9">
        <f t="shared" si="31"/>
        <v>1533746.5525854924</v>
      </c>
      <c r="U119" s="9">
        <f t="shared" si="32"/>
        <v>59847.53005297645</v>
      </c>
      <c r="V119" s="9">
        <f t="shared" si="25"/>
        <v>-15613869.164904932</v>
      </c>
    </row>
    <row r="120" spans="1:22" x14ac:dyDescent="0.25">
      <c r="A120" s="11">
        <v>119</v>
      </c>
      <c r="B120" s="11" t="s">
        <v>181</v>
      </c>
      <c r="C120" s="12" t="s">
        <v>69</v>
      </c>
      <c r="D120" s="13">
        <f>Параметры!$C$4*Параметры!$C$7*(1+Параметры!$C$8)^INT((A120-Параметры!$C$11-1)/12)</f>
        <v>2300686.3949745619</v>
      </c>
      <c r="E120" s="13">
        <f>D120/(1+Параметры!$C$13)</f>
        <v>1885808.5204709524</v>
      </c>
      <c r="F120" s="13">
        <f t="shared" si="26"/>
        <v>414877.87450360949</v>
      </c>
      <c r="G120" s="13">
        <f>IF(AND(A120&gt;Параметры!$C$11,A120&lt;=Параметры!$C$11+3),Параметры!$C$28,0)</f>
        <v>0</v>
      </c>
      <c r="H120" s="13">
        <f t="shared" si="27"/>
        <v>414877.87450360949</v>
      </c>
      <c r="I120" s="13">
        <f>E120*Параметры!$C$16</f>
        <v>282871.27807064285</v>
      </c>
      <c r="J120" s="13">
        <f>Параметры!$C$27</f>
        <v>85382.513661202189</v>
      </c>
      <c r="K120" s="13">
        <f>MAX(0,Параметры!$C$20-Параметры!$C$27*MAX(0,A120-Параметры!$C$11-1))*Параметры!$C$15/12</f>
        <v>57604.735883424408</v>
      </c>
      <c r="L120" s="13">
        <f t="shared" si="28"/>
        <v>1459949.992855683</v>
      </c>
      <c r="M120" s="13">
        <f>T119*Параметры!$C$10/12</f>
        <v>25562.44254309154</v>
      </c>
      <c r="N120" s="13">
        <f t="shared" si="29"/>
        <v>1434387.5503125915</v>
      </c>
      <c r="O120" s="13">
        <f>MAX(0,N120*Параметры!$C$14)</f>
        <v>286877.5100625183</v>
      </c>
      <c r="P120" s="13">
        <f t="shared" si="30"/>
        <v>1147510.0402500732</v>
      </c>
      <c r="Q120" s="13">
        <v>0</v>
      </c>
      <c r="R120" s="13">
        <v>0</v>
      </c>
      <c r="S120" s="13">
        <f>MAX(0,MIN(Параметры!$C$26-M120,T119))</f>
        <v>760535.4806208415</v>
      </c>
      <c r="T120" s="13">
        <f t="shared" si="31"/>
        <v>773211.07196465088</v>
      </c>
      <c r="U120" s="13">
        <f t="shared" si="32"/>
        <v>57479.198786824476</v>
      </c>
      <c r="V120" s="13">
        <f t="shared" si="25"/>
        <v>-15556389.966118107</v>
      </c>
    </row>
    <row r="121" spans="1:22" x14ac:dyDescent="0.25">
      <c r="A121" s="14">
        <v>120</v>
      </c>
      <c r="B121" s="14" t="s">
        <v>182</v>
      </c>
      <c r="C121" s="15" t="s">
        <v>69</v>
      </c>
      <c r="D121" s="9">
        <f>Параметры!$C$4*Параметры!$C$7*(1+Параметры!$C$8)^INT((A121-Параметры!$C$11-1)/12)</f>
        <v>2300686.3949745619</v>
      </c>
      <c r="E121" s="9">
        <f>D121/(1+Параметры!$C$13)</f>
        <v>1885808.5204709524</v>
      </c>
      <c r="F121" s="9">
        <f t="shared" si="26"/>
        <v>414877.87450360949</v>
      </c>
      <c r="G121" s="9">
        <f>IF(AND(A121&gt;Параметры!$C$11,A121&lt;=Параметры!$C$11+3),Параметры!$C$28,0)</f>
        <v>0</v>
      </c>
      <c r="H121" s="9">
        <f t="shared" si="27"/>
        <v>414877.87450360949</v>
      </c>
      <c r="I121" s="9">
        <f>E121*Параметры!$C$16</f>
        <v>282871.27807064285</v>
      </c>
      <c r="J121" s="9">
        <f>Параметры!$C$27</f>
        <v>85382.513661202189</v>
      </c>
      <c r="K121" s="9">
        <f>MAX(0,Параметры!$C$20-Параметры!$C$27*MAX(0,A121-Параметры!$C$11-1))*Параметры!$C$15/12</f>
        <v>57448.201275045525</v>
      </c>
      <c r="L121" s="9">
        <f t="shared" si="28"/>
        <v>1460106.5274640617</v>
      </c>
      <c r="M121" s="9">
        <f>T120*Параметры!$C$10/12</f>
        <v>12886.851199410848</v>
      </c>
      <c r="N121" s="9">
        <f t="shared" si="29"/>
        <v>1447219.6762646509</v>
      </c>
      <c r="O121" s="9">
        <f>MAX(0,N121*Параметры!$C$14)</f>
        <v>289443.93525293021</v>
      </c>
      <c r="P121" s="9">
        <f t="shared" si="30"/>
        <v>1157775.7410117206</v>
      </c>
      <c r="Q121" s="9">
        <v>0</v>
      </c>
      <c r="R121" s="9">
        <v>0</v>
      </c>
      <c r="S121" s="9">
        <f>MAX(0,MIN(Параметры!$C$26-M121,T120))</f>
        <v>773211.07196452213</v>
      </c>
      <c r="T121" s="9">
        <f t="shared" si="31"/>
        <v>1.287553459405899E-7</v>
      </c>
      <c r="U121" s="9">
        <f t="shared" si="32"/>
        <v>55069.308204791276</v>
      </c>
      <c r="V121" s="9">
        <f t="shared" si="25"/>
        <v>-15501320.657913316</v>
      </c>
    </row>
    <row r="122" spans="1:22" x14ac:dyDescent="0.25">
      <c r="A122" s="16" t="s">
        <v>183</v>
      </c>
      <c r="C122" s="17">
        <f t="shared" ref="C122:V122" si="33">SUM(C2:C121)</f>
        <v>0</v>
      </c>
      <c r="D122" s="17">
        <f t="shared" si="33"/>
        <v>189913941.56577736</v>
      </c>
      <c r="E122" s="17">
        <f t="shared" si="33"/>
        <v>155667165.21785012</v>
      </c>
      <c r="F122" s="17">
        <f t="shared" si="33"/>
        <v>34246776.347927026</v>
      </c>
      <c r="G122" s="17">
        <f t="shared" si="33"/>
        <v>9016393.4426229522</v>
      </c>
      <c r="H122" s="17">
        <f t="shared" si="33"/>
        <v>25230382.905304104</v>
      </c>
      <c r="I122" s="17">
        <f t="shared" si="33"/>
        <v>23350074.782677509</v>
      </c>
      <c r="J122" s="17">
        <f t="shared" si="33"/>
        <v>9733606.5573770385</v>
      </c>
      <c r="K122" s="17">
        <f t="shared" si="33"/>
        <v>7557334.3579234974</v>
      </c>
      <c r="L122" s="17">
        <f t="shared" si="33"/>
        <v>115026149.51987226</v>
      </c>
      <c r="M122" s="17">
        <f t="shared" si="33"/>
        <v>51948496.574021772</v>
      </c>
      <c r="N122" s="17">
        <f t="shared" si="33"/>
        <v>63077652.945850357</v>
      </c>
      <c r="O122" s="17">
        <f t="shared" si="33"/>
        <v>13082197.255836742</v>
      </c>
      <c r="P122" s="17">
        <f t="shared" si="33"/>
        <v>52328789.023346968</v>
      </c>
      <c r="Q122" s="17">
        <f t="shared" si="33"/>
        <v>50000000</v>
      </c>
      <c r="R122" s="17">
        <f t="shared" si="33"/>
        <v>40000000</v>
      </c>
      <c r="S122" s="17">
        <f t="shared" si="33"/>
        <v>39999999.999999903</v>
      </c>
      <c r="T122" s="17">
        <f t="shared" si="33"/>
        <v>3076909794.441309</v>
      </c>
      <c r="U122" s="17">
        <f t="shared" si="33"/>
        <v>-15501320.657913316</v>
      </c>
      <c r="V122" s="17">
        <f t="shared" si="33"/>
        <v>-1472364658.9673316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D7" sqref="D7"/>
    </sheetView>
  </sheetViews>
  <sheetFormatPr defaultRowHeight="15" x14ac:dyDescent="0.25"/>
  <cols>
    <col min="1" max="1" width="44" customWidth="1"/>
    <col min="2" max="2" width="22" customWidth="1"/>
    <col min="3" max="3" width="20" customWidth="1"/>
  </cols>
  <sheetData>
    <row r="1" spans="1:3" ht="24" customHeight="1" x14ac:dyDescent="0.25">
      <c r="A1" s="24" t="s">
        <v>184</v>
      </c>
      <c r="B1" s="25"/>
      <c r="C1" s="25"/>
    </row>
    <row r="2" spans="1:3" x14ac:dyDescent="0.25">
      <c r="A2" s="8" t="s">
        <v>185</v>
      </c>
      <c r="C2" s="18" t="str">
        <f>Параметры!$C$2</f>
        <v>TEMPLATE_120m</v>
      </c>
    </row>
    <row r="3" spans="1:3" x14ac:dyDescent="0.25">
      <c r="A3" s="8" t="s">
        <v>186</v>
      </c>
      <c r="C3" s="18" t="str">
        <f>Параметры!$C$3</f>
        <v>2026-01</v>
      </c>
    </row>
    <row r="4" spans="1:3" x14ac:dyDescent="0.25">
      <c r="A4" s="8" t="s">
        <v>18</v>
      </c>
      <c r="C4" s="18" t="str">
        <f>Параметры!$C$12&amp;" мес."</f>
        <v>120 мес.</v>
      </c>
    </row>
    <row r="5" spans="1:3" x14ac:dyDescent="0.25">
      <c r="A5" s="24" t="s">
        <v>187</v>
      </c>
      <c r="B5" s="25"/>
      <c r="C5" s="25"/>
    </row>
    <row r="6" spans="1:3" x14ac:dyDescent="0.25">
      <c r="A6" s="19" t="s">
        <v>188</v>
      </c>
      <c r="B6" s="20" t="s">
        <v>9</v>
      </c>
      <c r="C6" s="21">
        <f>NPV(Параметры!$C$9/12,'Денежные потоки'!U2:U121)</f>
        <v>-11657300.688655395</v>
      </c>
    </row>
    <row r="7" spans="1:3" x14ac:dyDescent="0.25">
      <c r="A7" s="19" t="s">
        <v>189</v>
      </c>
      <c r="B7" s="20" t="s">
        <v>190</v>
      </c>
      <c r="C7" s="22">
        <f>IFERROR((1+IRR('Денежные потоки'!U2:U121))^12-1,"Н/Д")</f>
        <v>-0.45525715087252672</v>
      </c>
    </row>
    <row r="8" spans="1:3" x14ac:dyDescent="0.25">
      <c r="A8" s="19" t="s">
        <v>191</v>
      </c>
      <c r="B8" s="20" t="s">
        <v>190</v>
      </c>
      <c r="C8" s="22">
        <f>IFERROR(SUM('Денежные потоки'!P2:P121)/Параметры!$C$23,"Н/Д")</f>
        <v>5.232878902334698</v>
      </c>
    </row>
    <row r="9" spans="1:3" x14ac:dyDescent="0.25">
      <c r="A9" s="19" t="s">
        <v>192</v>
      </c>
      <c r="B9" s="20" t="s">
        <v>17</v>
      </c>
      <c r="C9" s="27" t="e" cm="1">
        <f t="array" ref="C9">MATCH(TRUE,'Денежные потоки'!V2:V121&gt;=0,0)</f>
        <v>#N/A</v>
      </c>
    </row>
    <row r="10" spans="1:3" x14ac:dyDescent="0.25">
      <c r="A10" s="19" t="s">
        <v>193</v>
      </c>
      <c r="B10" s="20" t="s">
        <v>190</v>
      </c>
      <c r="C10" s="22">
        <f>Параметры!$C$9</f>
        <v>0.15</v>
      </c>
    </row>
    <row r="11" spans="1:3" x14ac:dyDescent="0.25">
      <c r="A11" s="24" t="s">
        <v>194</v>
      </c>
      <c r="B11" s="25"/>
      <c r="C11" s="25"/>
    </row>
    <row r="12" spans="1:3" x14ac:dyDescent="0.25">
      <c r="A12" s="15" t="s">
        <v>195</v>
      </c>
      <c r="B12" s="15" t="s">
        <v>9</v>
      </c>
      <c r="C12" s="9">
        <f>SUM('Денежные потоки'!D2:D121)</f>
        <v>189913941.56577736</v>
      </c>
    </row>
    <row r="13" spans="1:3" x14ac:dyDescent="0.25">
      <c r="A13" s="15" t="s">
        <v>196</v>
      </c>
      <c r="B13" s="15" t="s">
        <v>9</v>
      </c>
      <c r="C13" s="9">
        <f>SUM('Денежные потоки'!E2:E121)</f>
        <v>155667165.21785012</v>
      </c>
    </row>
    <row r="14" spans="1:3" x14ac:dyDescent="0.25">
      <c r="A14" s="15" t="s">
        <v>23</v>
      </c>
      <c r="B14" s="15" t="s">
        <v>9</v>
      </c>
      <c r="C14" s="9">
        <f>SUM('Денежные потоки'!I2:I121)</f>
        <v>23350074.782677509</v>
      </c>
    </row>
    <row r="15" spans="1:3" x14ac:dyDescent="0.25">
      <c r="A15" s="15" t="s">
        <v>197</v>
      </c>
      <c r="B15" s="15" t="s">
        <v>9</v>
      </c>
      <c r="C15" s="9">
        <f>SUM('Денежные потоки'!P2:P121)</f>
        <v>52328789.023346968</v>
      </c>
    </row>
    <row r="16" spans="1:3" x14ac:dyDescent="0.25">
      <c r="A16" s="24" t="s">
        <v>198</v>
      </c>
      <c r="B16" s="25"/>
      <c r="C16" s="25"/>
    </row>
    <row r="17" spans="1:3" x14ac:dyDescent="0.25">
      <c r="A17" s="15" t="s">
        <v>53</v>
      </c>
      <c r="B17" s="15" t="s">
        <v>9</v>
      </c>
      <c r="C17" s="9">
        <f>SUM('Денежные потоки'!O2:O121)</f>
        <v>13082197.255836742</v>
      </c>
    </row>
    <row r="18" spans="1:3" x14ac:dyDescent="0.25">
      <c r="A18" s="15" t="s">
        <v>199</v>
      </c>
      <c r="B18" s="15" t="s">
        <v>9</v>
      </c>
      <c r="C18" s="9">
        <f>SUMIF('Денежные потоки'!H2:H121,"&gt;0",'Денежные потоки'!H2:H121)</f>
        <v>33597596.02005817</v>
      </c>
    </row>
    <row r="19" spans="1:3" x14ac:dyDescent="0.25">
      <c r="A19" s="15" t="s">
        <v>200</v>
      </c>
      <c r="B19" s="15" t="s">
        <v>9</v>
      </c>
      <c r="C19" s="9">
        <f>SUM('Денежные потоки'!G2:G121)</f>
        <v>9016393.4426229522</v>
      </c>
    </row>
    <row r="20" spans="1:3" x14ac:dyDescent="0.25">
      <c r="A20" s="15" t="s">
        <v>201</v>
      </c>
      <c r="B20" s="15" t="s">
        <v>9</v>
      </c>
      <c r="C20" s="9">
        <f>SUM('Денежные потоки'!K2:K121)</f>
        <v>7557334.3579234974</v>
      </c>
    </row>
    <row r="21" spans="1:3" x14ac:dyDescent="0.25">
      <c r="A21" s="15" t="s">
        <v>202</v>
      </c>
      <c r="B21" s="15" t="s">
        <v>9</v>
      </c>
      <c r="C21" s="9">
        <f>SUM('Денежные потоки'!M2:M121)</f>
        <v>51948496.574021772</v>
      </c>
    </row>
    <row r="22" spans="1:3" x14ac:dyDescent="0.25">
      <c r="A22" s="24" t="s">
        <v>203</v>
      </c>
      <c r="B22" s="25"/>
      <c r="C22" s="25"/>
    </row>
    <row r="23" spans="1:3" x14ac:dyDescent="0.25">
      <c r="A23" s="15" t="s">
        <v>32</v>
      </c>
      <c r="B23" s="15" t="s">
        <v>9</v>
      </c>
      <c r="C23" s="9">
        <f>Параметры!$C$23</f>
        <v>9999999.9999999981</v>
      </c>
    </row>
    <row r="24" spans="1:3" x14ac:dyDescent="0.25">
      <c r="A24" s="15" t="s">
        <v>204</v>
      </c>
      <c r="B24" s="15" t="s">
        <v>9</v>
      </c>
      <c r="C24" s="9">
        <f>Параметры!$C$22</f>
        <v>40000000</v>
      </c>
    </row>
    <row r="25" spans="1:3" x14ac:dyDescent="0.25">
      <c r="A25" s="15" t="s">
        <v>205</v>
      </c>
      <c r="B25" s="15" t="s">
        <v>9</v>
      </c>
      <c r="C25" s="9">
        <f>Параметры!$C$5</f>
        <v>50000000</v>
      </c>
    </row>
  </sheetData>
  <mergeCells count="5">
    <mergeCell ref="A11:C11"/>
    <mergeCell ref="A1:C1"/>
    <mergeCell ref="A5:C5"/>
    <mergeCell ref="A22:C2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sqref="A1:G1"/>
    </sheetView>
  </sheetViews>
  <sheetFormatPr defaultRowHeight="15" x14ac:dyDescent="0.25"/>
  <cols>
    <col min="1" max="7" width="22" customWidth="1"/>
  </cols>
  <sheetData>
    <row r="1" spans="1:7" x14ac:dyDescent="0.25">
      <c r="A1" s="24" t="s">
        <v>206</v>
      </c>
      <c r="B1" s="25"/>
      <c r="C1" s="25"/>
      <c r="D1" s="25"/>
      <c r="E1" s="25"/>
      <c r="F1" s="25"/>
      <c r="G1" s="25"/>
    </row>
    <row r="2" spans="1:7" x14ac:dyDescent="0.25">
      <c r="A2" s="23" t="s">
        <v>207</v>
      </c>
      <c r="B2" s="23" t="s">
        <v>208</v>
      </c>
      <c r="C2" s="23" t="s">
        <v>209</v>
      </c>
      <c r="D2" s="23" t="s">
        <v>210</v>
      </c>
      <c r="E2" s="23" t="s">
        <v>211</v>
      </c>
      <c r="F2" s="23" t="s">
        <v>212</v>
      </c>
      <c r="G2" s="23" t="s">
        <v>213</v>
      </c>
    </row>
    <row r="3" spans="1:7" x14ac:dyDescent="0.25">
      <c r="A3" s="26" t="s">
        <v>214</v>
      </c>
      <c r="B3" s="25"/>
      <c r="C3" s="25"/>
      <c r="D3" s="25"/>
      <c r="E3" s="25"/>
      <c r="F3" s="25"/>
      <c r="G3" s="25"/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Параметры</vt:lpstr>
      <vt:lpstr>Денежные потоки</vt:lpstr>
      <vt:lpstr>ИТОГ</vt:lpstr>
      <vt:lpstr>Чувствительность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 Terentev</cp:lastModifiedBy>
  <dcterms:created xsi:type="dcterms:W3CDTF">2026-05-28T01:25:10Z</dcterms:created>
  <dcterms:modified xsi:type="dcterms:W3CDTF">2026-05-30T10:38:45Z</dcterms:modified>
</cp:coreProperties>
</file>